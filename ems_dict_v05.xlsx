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192.168.101.142\admin\projects\python\ems\"/>
    </mc:Choice>
  </mc:AlternateContent>
  <xr:revisionPtr revIDLastSave="0" documentId="13_ncr:1_{54CA85B1-C2FC-4B87-942C-E19F1BDE7F53}" xr6:coauthVersionLast="47" xr6:coauthVersionMax="47" xr10:uidLastSave="{00000000-0000-0000-0000-000000000000}"/>
  <bookViews>
    <workbookView xWindow="-120" yWindow="-120" windowWidth="29040" windowHeight="15720" activeTab="1" xr2:uid="{75D214A9-D7AF-49D5-B041-EC14400D16F0}"/>
  </bookViews>
  <sheets>
    <sheet name="BATT_REGISTER_LIST" sheetId="29" r:id="rId1"/>
    <sheet name="BATT_INDEX_LIST" sheetId="30" r:id="rId2"/>
    <sheet name="MARSTEK_MODBUS_INDEX_LIST" sheetId="19" r:id="rId3"/>
    <sheet name="MARSTEK_MODBUS" sheetId="28" r:id="rId4"/>
    <sheet name="FIELD_INDEX" sheetId="26" r:id="rId5"/>
    <sheet name="MARSTEK_CONVERTED" sheetId="24" r:id="rId6"/>
    <sheet name="MARSTEK_MODBUS (OLD)" sheetId="23" r:id="rId7"/>
    <sheet name="MODBUS_BLOCK_INDEX_OLD" sheetId="27" r:id="rId8"/>
    <sheet name="MARSTEK_CONVERTED_OLD" sheetId="25" r:id="rId9"/>
    <sheet name="MARSTEK_MODBUS_REGISTERS_OLD" sheetId="22" r:id="rId10"/>
    <sheet name="MARSTEK_SET" sheetId="21" r:id="rId11"/>
    <sheet name="DSMR_LIST_CONSTRUCTOR" sheetId="13" r:id="rId12"/>
    <sheet name="DSMR_OBIS_DICT" sheetId="16" r:id="rId13"/>
    <sheet name="DSMR_OBIS_CONST" sheetId="14" r:id="rId14"/>
    <sheet name="DSMR_CONST" sheetId="7" r:id="rId15"/>
    <sheet name="AUXM_CONST" sheetId="9" r:id="rId16"/>
    <sheet name="COST_CONST" sheetId="11" r:id="rId17"/>
    <sheet name="EMS_CONST" sheetId="10" r:id="rId18"/>
    <sheet name="CSV_CONST" sheetId="12" r:id="rId19"/>
    <sheet name="ALL_CONST" sheetId="3" r:id="rId20"/>
    <sheet name="CSV_HEADER" sheetId="4" r:id="rId21"/>
    <sheet name="P1 calculations" sheetId="6" r:id="rId22"/>
    <sheet name="OLD CSV logging fields" sheetId="1" r:id="rId23"/>
    <sheet name="MARSTEK_MODBUS_BLCKS_OLD" sheetId="20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9" l="1"/>
  <c r="C36" i="19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C26" i="19" s="1"/>
  <c r="C27" i="19" s="1"/>
  <c r="C28" i="19" s="1"/>
  <c r="C29" i="19" s="1"/>
  <c r="C30" i="19" s="1"/>
  <c r="C31" i="19" s="1"/>
  <c r="C32" i="19" s="1"/>
  <c r="C33" i="19" s="1"/>
  <c r="C34" i="19" s="1"/>
  <c r="C35" i="19" s="1"/>
  <c r="C38" i="19" s="1"/>
  <c r="C39" i="19" s="1"/>
  <c r="C40" i="19" s="1"/>
  <c r="C41" i="19" s="1"/>
  <c r="C42" i="19" s="1"/>
  <c r="C43" i="19" s="1"/>
  <c r="C44" i="19" s="1"/>
  <c r="C45" i="19" s="1"/>
  <c r="C46" i="19" s="1"/>
  <c r="C47" i="19" s="1"/>
  <c r="C48" i="19" s="1"/>
  <c r="C49" i="19" s="1"/>
  <c r="F49" i="20"/>
  <c r="F48" i="20"/>
  <c r="F47" i="20"/>
  <c r="F46" i="20"/>
  <c r="F45" i="20"/>
  <c r="F44" i="20"/>
  <c r="F43" i="20"/>
  <c r="F42" i="20"/>
  <c r="F41" i="20"/>
  <c r="F40" i="20"/>
  <c r="F39" i="20"/>
  <c r="F38" i="20"/>
  <c r="F37" i="20"/>
  <c r="F36" i="20"/>
  <c r="F35" i="20"/>
  <c r="F34" i="20"/>
  <c r="F33" i="20"/>
  <c r="F32" i="20"/>
  <c r="F31" i="20"/>
  <c r="F30" i="20"/>
  <c r="F29" i="20"/>
  <c r="F28" i="20"/>
  <c r="E39" i="6"/>
  <c r="F39" i="6" s="1"/>
  <c r="J10" i="6"/>
  <c r="J8" i="6"/>
  <c r="H11" i="6"/>
  <c r="H10" i="6"/>
  <c r="H9" i="6"/>
  <c r="H8" i="6"/>
  <c r="F11" i="6"/>
  <c r="F10" i="6"/>
  <c r="F9" i="6"/>
  <c r="F8" i="6"/>
  <c r="E11" i="6"/>
  <c r="E10" i="6"/>
  <c r="E9" i="6"/>
  <c r="E8" i="6"/>
  <c r="F6" i="6"/>
  <c r="C94" i="1"/>
</calcChain>
</file>

<file path=xl/sharedStrings.xml><?xml version="1.0" encoding="utf-8"?>
<sst xmlns="http://schemas.openxmlformats.org/spreadsheetml/2006/main" count="11402" uniqueCount="1064">
  <si>
    <t>DSMR</t>
  </si>
  <si>
    <t>(W)</t>
  </si>
  <si>
    <t>Always positive</t>
  </si>
  <si>
    <t>DSMR_TIME_STAMP</t>
  </si>
  <si>
    <t>DSMR_PWR_TOT_PROD</t>
  </si>
  <si>
    <t>log file weg schrijven vanuit main</t>
  </si>
  <si>
    <t>verzamel dsmr data en geeft door aaan main</t>
  </si>
  <si>
    <t>verzamel modbus data en geef door aan main</t>
  </si>
  <si>
    <t>BATT</t>
  </si>
  <si>
    <t>Device</t>
  </si>
  <si>
    <t>Proto</t>
  </si>
  <si>
    <t>MODBUS RTU</t>
  </si>
  <si>
    <t>P1 data over TCP</t>
  </si>
  <si>
    <t>CSV file per dag</t>
  </si>
  <si>
    <t>(V)</t>
  </si>
  <si>
    <t>(A)</t>
  </si>
  <si>
    <t>Watt</t>
  </si>
  <si>
    <t>Volt</t>
  </si>
  <si>
    <t>(Hz)</t>
  </si>
  <si>
    <t>(kWh)</t>
  </si>
  <si>
    <t>Hertz</t>
  </si>
  <si>
    <t>kWh</t>
  </si>
  <si>
    <t>EMS</t>
  </si>
  <si>
    <t>DSMR_PWR_TOT_CONS</t>
  </si>
  <si>
    <t>DSMR_NRG_T1_CONS</t>
  </si>
  <si>
    <t>DSMR_NRG_T2_CONS</t>
  </si>
  <si>
    <t>DSMR_NRG_T1_PROD</t>
  </si>
  <si>
    <t>DSMR_NRG_T2_PROD</t>
  </si>
  <si>
    <t>DSMR_PWR_L1_CONS</t>
  </si>
  <si>
    <t>DSMR_PWR_L2_CONS</t>
  </si>
  <si>
    <t>DSMR_PWR_L3_CONS</t>
  </si>
  <si>
    <t>DSMR_PWR_L1_PROD</t>
  </si>
  <si>
    <t>DSMR_PWR_L2_PROD</t>
  </si>
  <si>
    <t>DSMR_PWR_L3_PROD</t>
  </si>
  <si>
    <t>BATT_AC_VOLT</t>
  </si>
  <si>
    <t>BATT_AC_PWR</t>
  </si>
  <si>
    <t>BATT_AC_CUR</t>
  </si>
  <si>
    <t>DSMR_VOL_L1</t>
  </si>
  <si>
    <t>DSMR_VOL_L2</t>
  </si>
  <si>
    <t>DSMR_VOL_L3</t>
  </si>
  <si>
    <t>BATT_AC_FRQ</t>
  </si>
  <si>
    <t>Amp</t>
  </si>
  <si>
    <t>Pos or Neg</t>
  </si>
  <si>
    <t>BATT_DC_VOLT</t>
  </si>
  <si>
    <t>BATT_DC_CUR</t>
  </si>
  <si>
    <t>BATT_DC_PWR</t>
  </si>
  <si>
    <t>BATT_DC_SOC</t>
  </si>
  <si>
    <t>Percent</t>
  </si>
  <si>
    <t>(%)</t>
  </si>
  <si>
    <t>BATT_TOT_CHARGED</t>
  </si>
  <si>
    <t>BATT_TOT_DISCHARGED</t>
  </si>
  <si>
    <t>BATT_DAY_CHARGED</t>
  </si>
  <si>
    <t>BATT_DAY_DISCHARGED</t>
  </si>
  <si>
    <t>BATT_MNT_CHARGED</t>
  </si>
  <si>
    <t>BATT_MNT_DISCHARGED</t>
  </si>
  <si>
    <t>BATT_INT_TEMP</t>
  </si>
  <si>
    <t xml:space="preserve">(C) </t>
  </si>
  <si>
    <t>Temp</t>
  </si>
  <si>
    <t>BATT_MOS1_TEMP</t>
  </si>
  <si>
    <t>BATT_MOS2_TEMP</t>
  </si>
  <si>
    <t>BATT_INV_STATE</t>
  </si>
  <si>
    <t>State</t>
  </si>
  <si>
    <t>0=sleep, 1:standby, 2:charge, 3:discharge, 4:backup, 5:OTA-upgrade</t>
  </si>
  <si>
    <t>BATT_ALARM</t>
  </si>
  <si>
    <t>BATT_FAULT</t>
  </si>
  <si>
    <t>Number</t>
  </si>
  <si>
    <t>ITEM</t>
  </si>
  <si>
    <t>OBIS/MODBUS</t>
  </si>
  <si>
    <t>1.8.1</t>
  </si>
  <si>
    <t>1.8.2</t>
  </si>
  <si>
    <t>2.8.1</t>
  </si>
  <si>
    <t>2.7.0</t>
  </si>
  <si>
    <t>1.7.0</t>
  </si>
  <si>
    <t>1.0.0</t>
  </si>
  <si>
    <t>21.7.0</t>
  </si>
  <si>
    <t>41.7.0</t>
  </si>
  <si>
    <t>61.7.0</t>
  </si>
  <si>
    <t>22.7.0</t>
  </si>
  <si>
    <t>42.7.0</t>
  </si>
  <si>
    <t>62.7.0</t>
  </si>
  <si>
    <t>32.7.0</t>
  </si>
  <si>
    <t>52.7.0</t>
  </si>
  <si>
    <t>72.7.0</t>
  </si>
  <si>
    <t>DSMR fields</t>
  </si>
  <si>
    <t>BATT_FORCIBLE_STATE</t>
  </si>
  <si>
    <t>BATT_PWR_CHARGE</t>
  </si>
  <si>
    <t>BATT_PWR_DISCHARGE</t>
  </si>
  <si>
    <t>BATT_USER_MODE</t>
  </si>
  <si>
    <t>BATT_CHARGE_CUT_OFF</t>
  </si>
  <si>
    <t>BATT_DISCHARGE_CUT_OFF</t>
  </si>
  <si>
    <t>BATT_MAX_CHARGE_PWR</t>
  </si>
  <si>
    <t>BATT_MAX_DISCHARGE_PWR</t>
  </si>
  <si>
    <t>BATT_RS485_MODE</t>
  </si>
  <si>
    <t>BATT control info</t>
  </si>
  <si>
    <t>BASE load</t>
  </si>
  <si>
    <t>BASE_LOAD_00</t>
  </si>
  <si>
    <t>BASE_LOAD_01</t>
  </si>
  <si>
    <t>BASE_LOAD_02</t>
  </si>
  <si>
    <t>BASE_LOAD_03</t>
  </si>
  <si>
    <t>BASE_LOAD_04</t>
  </si>
  <si>
    <t>BASE_LOAD_05</t>
  </si>
  <si>
    <t>BASE_LOAD_06</t>
  </si>
  <si>
    <t>BASE_LOAD_07</t>
  </si>
  <si>
    <t>BASE_LOAD_08</t>
  </si>
  <si>
    <t>BASE_LOAD_09</t>
  </si>
  <si>
    <t>BASE_LOAD_10</t>
  </si>
  <si>
    <t>BASE_LOAD_11</t>
  </si>
  <si>
    <t>BASE_LOAD_12</t>
  </si>
  <si>
    <t>BASE_LOAD_13</t>
  </si>
  <si>
    <t>BASE_LOAD_14</t>
  </si>
  <si>
    <t>BASE_LOAD_15</t>
  </si>
  <si>
    <t>BASE_LOAD_16</t>
  </si>
  <si>
    <t>BASE_LOAD_17</t>
  </si>
  <si>
    <t>BASE_LOAD_18</t>
  </si>
  <si>
    <t>BASE_LOAD_19</t>
  </si>
  <si>
    <t>BASE_LOAD_20</t>
  </si>
  <si>
    <t>BASE_LOAD_21</t>
  </si>
  <si>
    <t>BASE_LOAD_22</t>
  </si>
  <si>
    <t>BASE_LOAD_23</t>
  </si>
  <si>
    <t>EMS status</t>
  </si>
  <si>
    <t>BATT status info</t>
  </si>
  <si>
    <t>=</t>
  </si>
  <si>
    <t>EMS_DSMR_LOOP</t>
  </si>
  <si>
    <t>EMS_BATT_LOOP</t>
  </si>
  <si>
    <t>EMS_MAIN_LOOP</t>
  </si>
  <si>
    <t>EMS_MTR_LOOP</t>
  </si>
  <si>
    <t>EMS_CPU_LOAD</t>
  </si>
  <si>
    <t>EMS_TIME_STAMP</t>
  </si>
  <si>
    <t>24.2.1</t>
  </si>
  <si>
    <t>DSMR_GAS_TIME_STAMP</t>
  </si>
  <si>
    <t>(m3)</t>
  </si>
  <si>
    <t>Volume</t>
  </si>
  <si>
    <t>DSMR_GAS_VOLUME</t>
  </si>
  <si>
    <t>Date</t>
  </si>
  <si>
    <t>(TS)</t>
  </si>
  <si>
    <t>CSV_00</t>
  </si>
  <si>
    <t>CSV_01</t>
  </si>
  <si>
    <t>CSV_02</t>
  </si>
  <si>
    <t>CSV_03</t>
  </si>
  <si>
    <t>CSV_04</t>
  </si>
  <si>
    <t>CSV_05</t>
  </si>
  <si>
    <t>CSV_06</t>
  </si>
  <si>
    <t>CSV_07</t>
  </si>
  <si>
    <t>CSV_08</t>
  </si>
  <si>
    <t>CSV_09</t>
  </si>
  <si>
    <t>CSV_10</t>
  </si>
  <si>
    <t>CSV_11</t>
  </si>
  <si>
    <t>CSV_12</t>
  </si>
  <si>
    <t>CSV_13</t>
  </si>
  <si>
    <t>CSV_14</t>
  </si>
  <si>
    <t>CSV_15</t>
  </si>
  <si>
    <t>CSV_16</t>
  </si>
  <si>
    <t>CSV_17</t>
  </si>
  <si>
    <t>CSV_18</t>
  </si>
  <si>
    <t>CSV_19</t>
  </si>
  <si>
    <t>CSV_20</t>
  </si>
  <si>
    <t>CSV_21</t>
  </si>
  <si>
    <t>CSV_22</t>
  </si>
  <si>
    <t>CSV_23</t>
  </si>
  <si>
    <t>TimeStamp</t>
  </si>
  <si>
    <t>DSMR loops</t>
  </si>
  <si>
    <t>BATT loops</t>
  </si>
  <si>
    <t>METER loops</t>
  </si>
  <si>
    <t>CPU load</t>
  </si>
  <si>
    <t>MAIN loops</t>
  </si>
  <si>
    <t>(#)</t>
  </si>
  <si>
    <t>(BOOL)</t>
  </si>
  <si>
    <t>(STATE)</t>
  </si>
  <si>
    <t>METER_PWR_IN</t>
  </si>
  <si>
    <t>METER_PWR_OUT</t>
  </si>
  <si>
    <t>METER_VOLT</t>
  </si>
  <si>
    <t>METER_CUR</t>
  </si>
  <si>
    <t>METER_FREQ</t>
  </si>
  <si>
    <t>METER_NRG_IN</t>
  </si>
  <si>
    <t>METER_NRG_OUT</t>
  </si>
  <si>
    <t>????</t>
  </si>
  <si>
    <t>METER_FAULT</t>
  </si>
  <si>
    <t>EMS_DSMR_CNTR</t>
  </si>
  <si>
    <t>EMS_BATT_CNTR</t>
  </si>
  <si>
    <t>EMS_EXTRA_01</t>
  </si>
  <si>
    <t>EMS_EXTRA_02</t>
  </si>
  <si>
    <t>BATT_EXTRA_01</t>
  </si>
  <si>
    <t>BATT_EXTRA_02</t>
  </si>
  <si>
    <t>DSMR_VOLT_L1</t>
  </si>
  <si>
    <t>DSMR_VOLT_L2</t>
  </si>
  <si>
    <t>DSMR_VOLT_L3</t>
  </si>
  <si>
    <t>DSMR_ENRG_T1_CONS</t>
  </si>
  <si>
    <t>DSMR_ENRG_T2_CONS</t>
  </si>
  <si>
    <t>DSMR_ENRG_T1_PROD</t>
  </si>
  <si>
    <t>DSMR_ENRG_T2_PROD</t>
  </si>
  <si>
    <t>DSMR_CURR_L1</t>
  </si>
  <si>
    <t>DSMR_CURR_L2</t>
  </si>
  <si>
    <t>DSMR_CURR_L3</t>
  </si>
  <si>
    <t>NEG = CHARGING and POS = DISCHARGING</t>
  </si>
  <si>
    <t xml:space="preserve"># </t>
  </si>
  <si>
    <t>BATT_SET_PWR_CHARGE</t>
  </si>
  <si>
    <t>BATT_SET_PWR_DISCHARGE</t>
  </si>
  <si>
    <t>BATT_SET_CHARGE_TO_SOC</t>
  </si>
  <si>
    <t>BATT_SET_RTU_MODE</t>
  </si>
  <si>
    <t>BATT_SET_INV_STATE</t>
  </si>
  <si>
    <t>0:stop, 1:charge, 2:discharge</t>
  </si>
  <si>
    <t>BATT_SET_USER_MODE</t>
  </si>
  <si>
    <t>0:manual, 1:anti-feed, 2:trade mode</t>
  </si>
  <si>
    <t>set charge to SoC value in 1%</t>
  </si>
  <si>
    <t>set charging power [0-2500W]</t>
  </si>
  <si>
    <t>set discharging power [0-2500W]</t>
  </si>
  <si>
    <t>BATT_SET_CHARGE_CUTOFF</t>
  </si>
  <si>
    <t>BATT_SET_DISCHARGE_CUTOFF</t>
  </si>
  <si>
    <t>BATT_SET_MAX_CHARGE_PWR</t>
  </si>
  <si>
    <t>BATT_SET_RESTART</t>
  </si>
  <si>
    <t>BATT_SET_BACKUP</t>
  </si>
  <si>
    <t>BATT_GET_AC_PWR</t>
  </si>
  <si>
    <t>BATT_GET_DC_PWR</t>
  </si>
  <si>
    <t>BATT_GET_DC_SOC</t>
  </si>
  <si>
    <t>BATT_GET_TOT_CHARGED</t>
  </si>
  <si>
    <t>BATT_GET_TOT_DISCHARGED</t>
  </si>
  <si>
    <t>BATT_GET_DAY_CHARGED</t>
  </si>
  <si>
    <t>BATT_GET_DAY_DISCHARGED</t>
  </si>
  <si>
    <t>BATT_GET_MNT_CHARGED</t>
  </si>
  <si>
    <t>BATT_GET_MNT_DISCHARGED</t>
  </si>
  <si>
    <t>BATT_GET_INT_TEMP</t>
  </si>
  <si>
    <t>BATT_GET_MOS1_TEMP</t>
  </si>
  <si>
    <t>BATT_GET_MOS2_TEMP</t>
  </si>
  <si>
    <t>BATT_GET_MAX_CELL_TEMP</t>
  </si>
  <si>
    <t>BATT_GET_MIN_CELL_TEMP</t>
  </si>
  <si>
    <t>BATT_GET_INV_STATE</t>
  </si>
  <si>
    <t>BATT_GET_ALARM</t>
  </si>
  <si>
    <t>BATT_GET_FAULT</t>
  </si>
  <si>
    <t>Antifeed: No consumption - NOM (Nul Op de Meter)</t>
  </si>
  <si>
    <t>Antifeed: No production - PVZ (PV Zero)</t>
  </si>
  <si>
    <t>BATT_DEVICE_NAME</t>
  </si>
  <si>
    <t>BATT_FW_VERSION</t>
  </si>
  <si>
    <t>BATT_GET_AC_VOLT</t>
  </si>
  <si>
    <t>BATT_GET_AC_CURR</t>
  </si>
  <si>
    <t>BATT_GET_AC_FREQ</t>
  </si>
  <si>
    <t>BATT_GET_DC_VOLT</t>
  </si>
  <si>
    <t>BATT_GET_DC_CURR</t>
  </si>
  <si>
    <t>BATT_GET_BACKUP_VOLT</t>
  </si>
  <si>
    <t>BATT_GET_BACKUP_CURR</t>
  </si>
  <si>
    <t>BATT_GET_BACKUP_PWR</t>
  </si>
  <si>
    <t>0:sleep, 1:standby, 2:charging, 3:discharging, 4:backup, 5:upgrading</t>
  </si>
  <si>
    <t>BATT_GET_LIMIT_VOLT</t>
  </si>
  <si>
    <t>BATT_GET_LIMIT_DISCHARGE_CURR</t>
  </si>
  <si>
    <t>BATT_GET_LIMIT_CHARGE_CURR</t>
  </si>
  <si>
    <t>char</t>
  </si>
  <si>
    <t>u16</t>
  </si>
  <si>
    <t>0.01</t>
  </si>
  <si>
    <t>n.a.</t>
  </si>
  <si>
    <t>s16</t>
  </si>
  <si>
    <t>0.01A</t>
  </si>
  <si>
    <t>0.01V</t>
  </si>
  <si>
    <t>1W</t>
  </si>
  <si>
    <t>s32</t>
  </si>
  <si>
    <t>positive means power into batt (charging)</t>
  </si>
  <si>
    <t>positive means power into the home (discharging)</t>
  </si>
  <si>
    <t>0.1%</t>
  </si>
  <si>
    <t>BATT_GET_DC_TOT_ENRG</t>
  </si>
  <si>
    <t>1wh</t>
  </si>
  <si>
    <t>0.1V</t>
  </si>
  <si>
    <t>0.01Hz</t>
  </si>
  <si>
    <t>u32</t>
  </si>
  <si>
    <t>0.01kWh</t>
  </si>
  <si>
    <t>0.1C</t>
  </si>
  <si>
    <t>100mv</t>
  </si>
  <si>
    <t>100ma</t>
  </si>
  <si>
    <t>BATT_SET_MAX_DISCHARGE_PWR</t>
  </si>
  <si>
    <t>bits</t>
  </si>
  <si>
    <t>0: enable backup, 1: disable backup</t>
  </si>
  <si>
    <t xml:space="preserve">restart write 0x55AA </t>
  </si>
  <si>
    <t>enable RS485 mode 0x55AA, disable: 0x55BB</t>
  </si>
  <si>
    <t>Electricity consumed by client (Tariff 1) in 0,001 kWh</t>
  </si>
  <si>
    <t>DSMR_VERSION</t>
  </si>
  <si>
    <t>DSMR_ACTIVE_TARIF</t>
  </si>
  <si>
    <t>0.2.8</t>
  </si>
  <si>
    <t>DSMR version number</t>
  </si>
  <si>
    <t>96.1.1</t>
  </si>
  <si>
    <t>str</t>
  </si>
  <si>
    <t>Time stamp (251022130635S)</t>
  </si>
  <si>
    <t>Serial Number (4530303434303037343238353839323139)</t>
  </si>
  <si>
    <t>Electricity consumed by client (Tariff 2) in 0,001 kWh</t>
  </si>
  <si>
    <t>Electricity produced by client (Tariff 1) in 0,001 kWh</t>
  </si>
  <si>
    <t>Electricity produced by client (Tariff 2) in 0,001 kWh</t>
  </si>
  <si>
    <t>Active tarif</t>
  </si>
  <si>
    <t>96.14.0</t>
  </si>
  <si>
    <t>31.7.0</t>
  </si>
  <si>
    <t>51.7.0</t>
  </si>
  <si>
    <t>71.7.0</t>
  </si>
  <si>
    <t>96.1.0</t>
  </si>
  <si>
    <t>int</t>
  </si>
  <si>
    <t>?</t>
  </si>
  <si>
    <t>EMS_EXTRA_03</t>
  </si>
  <si>
    <t>2.8.2</t>
  </si>
  <si>
    <t>Signed value where power CONS = positive and PROD = negative</t>
  </si>
  <si>
    <t>+/-</t>
  </si>
  <si>
    <t>/ISK5\2M550T-1012</t>
  </si>
  <si>
    <t>1-3:0.2.8(50)</t>
  </si>
  <si>
    <t>0-0:1.0.0(251030161306W)</t>
  </si>
  <si>
    <t>0-0:96.1.1(4530303434303037343238353839323139)</t>
  </si>
  <si>
    <t>1-0:1.8.1(017976.723*kWh)</t>
  </si>
  <si>
    <t>1-0:1.8.2(013530.092*kWh)</t>
  </si>
  <si>
    <t>1-0:2.8.1(001991.034*kWh)</t>
  </si>
  <si>
    <t>1-0:2.8.2(004626.697*kWh)</t>
  </si>
  <si>
    <t>0-0:96.14.0(0002)</t>
  </si>
  <si>
    <t>1-0:1.7.0(00.195*kW)</t>
  </si>
  <si>
    <t>1-0:2.7.0(00.000*kW)</t>
  </si>
  <si>
    <t>0-0:96.7.21(00006)</t>
  </si>
  <si>
    <t>0-0:96.7.9(00003)</t>
  </si>
  <si>
    <t>1-0:99.97.0(1)(0-0:96.7.19)(221111154937W)(0000001025*s)</t>
  </si>
  <si>
    <t>1-0:32.32.0(00007)</t>
  </si>
  <si>
    <t>1-0:52.32.0(00008)</t>
  </si>
  <si>
    <t>1-0:72.32.0(00007)</t>
  </si>
  <si>
    <t>1-0:32.36.0(00001)</t>
  </si>
  <si>
    <t>1-0:52.36.0(00001)</t>
  </si>
  <si>
    <t>1-0:72.36.0(00001)</t>
  </si>
  <si>
    <t>0-0:96.13.0()</t>
  </si>
  <si>
    <t>1-0:32.7.0(230.9*V)</t>
  </si>
  <si>
    <t>1-0:52.7.0(231.1*V)</t>
  </si>
  <si>
    <t>1-0:72.7.0(232.4*V)</t>
  </si>
  <si>
    <t>1-0:31.7.0(001*A)</t>
  </si>
  <si>
    <t>1-0:51.7.0(001*A)</t>
  </si>
  <si>
    <t>1-0:71.7.0(001*A)</t>
  </si>
  <si>
    <t>1-0:21.7.0(00.207*kW)</t>
  </si>
  <si>
    <t>1-0:41.7.0(00.000*kW)</t>
  </si>
  <si>
    <t>1-0:61.7.0(00.152*kW)</t>
  </si>
  <si>
    <t>1-0:22.7.0(00.000*kW)</t>
  </si>
  <si>
    <t>1-0:42.7.0(00.162*kW)</t>
  </si>
  <si>
    <t>1-0:62.7.0(00.000*kW)</t>
  </si>
  <si>
    <t>0-1:24.1.0(003)</t>
  </si>
  <si>
    <t>0-1:96.1.0(4730303339303031393334373137363139)</t>
  </si>
  <si>
    <t>0-1:24.2.1(251030161002W)(07850.922*m3)</t>
  </si>
  <si>
    <t>!17D6</t>
  </si>
  <si>
    <t>0-0:1.0.0(251103202948W)</t>
  </si>
  <si>
    <t>1-0:1.8.1(018020.713*kWh)</t>
  </si>
  <si>
    <t>1-0:1.8.2(013551.206*kWh)</t>
  </si>
  <si>
    <t>1-0:2.8.1(001991.955*kWh)</t>
  </si>
  <si>
    <t>1-0:2.8.2(004626.998*kWh)</t>
  </si>
  <si>
    <t>1-0:1.7.0(00.771*kW)</t>
  </si>
  <si>
    <t>1-0:32.7.0(231.2*V)</t>
  </si>
  <si>
    <t>1-0:52.7.0(230.0*V)</t>
  </si>
  <si>
    <t>1-0:72.7.0(231.3*V)</t>
  </si>
  <si>
    <t>1-0:21.7.0(00.202*kW)</t>
  </si>
  <si>
    <t>1-0:41.7.0(00.269*kW)</t>
  </si>
  <si>
    <t>1-0:61.7.0(00.312*kW)</t>
  </si>
  <si>
    <t>1-0:42.7.0(00.000*kW)</t>
  </si>
  <si>
    <t>0-1:24.2.1(251103202505W)(07865.743*m3)</t>
  </si>
  <si>
    <t>!ED28</t>
  </si>
  <si>
    <t>Wh</t>
  </si>
  <si>
    <t>PROD</t>
  </si>
  <si>
    <t>CONS</t>
  </si>
  <si>
    <t>m3</t>
  </si>
  <si>
    <t>Instantaneous voltage L1 1-0:32.7.0.255</t>
  </si>
  <si>
    <t>Instantaneous voltage L2 1-0:52.7.0.255</t>
  </si>
  <si>
    <t>Instantaneous voltage L3 1-0:72.7.0.255</t>
  </si>
  <si>
    <t>Instantaneous current L1 1-0:31.7.0.255</t>
  </si>
  <si>
    <t>Instantaneous current L2 1-0:51.7.0.255</t>
  </si>
  <si>
    <t>Instantaneous current L3 1-0:71.7.0.255</t>
  </si>
  <si>
    <t>Instantaneous active power L1 (+P) 1-0:21.7.0.255</t>
  </si>
  <si>
    <t>Instantaneous active power L2 (+P) 1-0:41.7.0.255</t>
  </si>
  <si>
    <t>Instantaneous active power L3 (+P) 1-0:61.7.0.255</t>
  </si>
  <si>
    <t>Instantaneous active power L1 (-P) 1-0:22.7.0.255</t>
  </si>
  <si>
    <t>Instantaneous active power L2 (-P) 1-0:42.7.0.255</t>
  </si>
  <si>
    <t>Instantaneous active power L3 (-P)</t>
  </si>
  <si>
    <t xml:space="preserve">Actual electricity power delivered (+P) in Watt </t>
  </si>
  <si>
    <t>Actual electricity power received (-P) in Watt</t>
  </si>
  <si>
    <t>Gas in m3</t>
  </si>
  <si>
    <t>Gas timestamp</t>
  </si>
  <si>
    <t>DSMR_CONV_VERSION</t>
  </si>
  <si>
    <t>DSMR_CONV_TIME_STAMP</t>
  </si>
  <si>
    <t>DSMR_CONV_ENRG_T1_CONS</t>
  </si>
  <si>
    <t>DSMR_CONV_ENRG_T2_CONS</t>
  </si>
  <si>
    <t>DSMR_CONV_ENRG_T1_PROD</t>
  </si>
  <si>
    <t>DSMR_CONV_ENRG_T2_PROD</t>
  </si>
  <si>
    <t>DSMR_CONV_ACTIVE_TARIF</t>
  </si>
  <si>
    <t>DSMR_CONV_PWR_TOT_CONS</t>
  </si>
  <si>
    <t>DSMR_CONV_PWR_TOT_PROD</t>
  </si>
  <si>
    <t>DSMR_CONV_VOLT_L1</t>
  </si>
  <si>
    <t>DSMR_CONV_VOLT_L2</t>
  </si>
  <si>
    <t>DSMR_CONV_VOLT_L3</t>
  </si>
  <si>
    <t>DSMR_CONV_CURR_L1</t>
  </si>
  <si>
    <t>DSMR_CONV_CURR_L2</t>
  </si>
  <si>
    <t>DSMR_CONV_CURR_L3</t>
  </si>
  <si>
    <t>DSMR_CONV_PWR_L1_CONS</t>
  </si>
  <si>
    <t>DSMR_CONV_PWR_L2_CONS</t>
  </si>
  <si>
    <t>DSMR_CONV_PWR_L3_CONS</t>
  </si>
  <si>
    <t>DSMR_CONV_PWR_L1_PROD</t>
  </si>
  <si>
    <t>DSMR_CONV_PWR_L2_PROD</t>
  </si>
  <si>
    <t>DSMR_CONV_PWR_L3_PROD</t>
  </si>
  <si>
    <t>DSMR_CONV_GAS_TIME_STAMP</t>
  </si>
  <si>
    <t>DSMR_CONV_GAS_VOLUME</t>
  </si>
  <si>
    <t>uint</t>
  </si>
  <si>
    <t>DSMR_SIGN_L1_PWR_ACT</t>
  </si>
  <si>
    <t>DSMR_SIGN_L2_PWR_ACT</t>
  </si>
  <si>
    <t>DSMR_SIGN_L3_PWR_ACT</t>
  </si>
  <si>
    <t>DSMR_SIGN_TOT_PWR_ACT</t>
  </si>
  <si>
    <t>DSMR_SIGN_L1_PWR_1M</t>
  </si>
  <si>
    <t>DSMR_SIGN_L2_PWR_1M</t>
  </si>
  <si>
    <t>DSMR_SIGN_L3_PWR_1M</t>
  </si>
  <si>
    <t>DSMR_SIGN_TOT_PWR_1M</t>
  </si>
  <si>
    <t>DSMR_SIGN_L1_PWR_15M</t>
  </si>
  <si>
    <t>DSMR_SIGN_L2_PWR_15M</t>
  </si>
  <si>
    <t>DSMR_SIGN_L3_PWR_15M</t>
  </si>
  <si>
    <t>DSMR_SIGN_TOT_PWR_15M</t>
  </si>
  <si>
    <t>DSMR_SIGN_L1_PWR_1H</t>
  </si>
  <si>
    <t>DSMR_SIGN_L2_PWR_1H</t>
  </si>
  <si>
    <t>DSMR_SIGN_L3_PWR_1H</t>
  </si>
  <si>
    <t>DSMR_SIGN_TOT_PWR_1H</t>
  </si>
  <si>
    <t>EMS_BASELOAD</t>
  </si>
  <si>
    <t>EMS_CUTOFF_HI</t>
  </si>
  <si>
    <t>EMS_CUTOFF_LO</t>
  </si>
  <si>
    <t xml:space="preserve">Serial Number </t>
  </si>
  <si>
    <t>EMS_BSLD_CNTR</t>
  </si>
  <si>
    <t>EMS_LOG_CNTR</t>
  </si>
  <si>
    <t>EMS_EMS_CNTR</t>
  </si>
  <si>
    <t>Loop counter BATT thread</t>
  </si>
  <si>
    <t>Loop counter DSMR thread</t>
  </si>
  <si>
    <t>Loop counter Baseload thread</t>
  </si>
  <si>
    <t>Loop counter Logger thread</t>
  </si>
  <si>
    <t>Loop counter EMS thread</t>
  </si>
  <si>
    <t>Loop counter Aux DZG Meter thread</t>
  </si>
  <si>
    <t>EMS_AUX_CNTR</t>
  </si>
  <si>
    <t>RPI CU load</t>
  </si>
  <si>
    <t>SoC cut-off LOW (e.g. baseload stop at 20%)</t>
  </si>
  <si>
    <t>SoC cut-off HIGH (e.g. baseload stop at 80%)</t>
  </si>
  <si>
    <t>EMS_ZERO_CONS</t>
  </si>
  <si>
    <t>EMS_ZERO_PROD</t>
  </si>
  <si>
    <t>Extra</t>
  </si>
  <si>
    <t>DSMR_SIGN_L1_PWR_10S</t>
  </si>
  <si>
    <t>DSMR_SIGN_L2_PWR_10S</t>
  </si>
  <si>
    <t>DSMR_SIGN_L3_PWR_10S</t>
  </si>
  <si>
    <t>DSMR_SIGN_TOT_PWR_10S</t>
  </si>
  <si>
    <t>DSMR_NEW_DATA</t>
  </si>
  <si>
    <t>SELF</t>
  </si>
  <si>
    <t>BATT_NEW_DATA</t>
  </si>
  <si>
    <t>BATT_TIME_STAMP</t>
  </si>
  <si>
    <t>DSMR new DSMR data received and available</t>
  </si>
  <si>
    <t>BATT time stamp from Python</t>
  </si>
  <si>
    <t>BATT new MODBUS data received and available</t>
  </si>
  <si>
    <t>DSMR time stamp from Python</t>
  </si>
  <si>
    <t>AUXM time stamp from Python</t>
  </si>
  <si>
    <t>AUXM new MODBUS data received and available</t>
  </si>
  <si>
    <t>AUXM_TIME_STAMP</t>
  </si>
  <si>
    <t>AUXM_NEW_DATA</t>
  </si>
  <si>
    <t>AUXM_DZG_TYPE</t>
  </si>
  <si>
    <t>AUXM_DZG_PWR_IN</t>
  </si>
  <si>
    <t>AUXM_DZG_PWR_OUT</t>
  </si>
  <si>
    <t>AUXM_DZG_NRG_IN</t>
  </si>
  <si>
    <t>AUXM_DZG_NRG_OUT</t>
  </si>
  <si>
    <t>AUXM_DZG_VOLT_L1</t>
  </si>
  <si>
    <t>AUXM_DZG_VOLT_L2</t>
  </si>
  <si>
    <t>AUXM_DZG_VOLT_L3</t>
  </si>
  <si>
    <t>AUXM_DZG_CUR_L1</t>
  </si>
  <si>
    <t>AUXM_DZG_CUR_L2</t>
  </si>
  <si>
    <t>AUXM_DZG_CUR_L3</t>
  </si>
  <si>
    <t>AUXM_DZG_PWR_L1</t>
  </si>
  <si>
    <t>AUXM_DZG_PWR_L2</t>
  </si>
  <si>
    <t>AUXM_DZG_PWR_L3</t>
  </si>
  <si>
    <t>AUXM_DZG_FREQ</t>
  </si>
  <si>
    <t>AUXM_DZG_PWR_FACT</t>
  </si>
  <si>
    <t>AUXM_DZG_FAULT</t>
  </si>
  <si>
    <t>COST_TIME_STAMP</t>
  </si>
  <si>
    <t>COST_NEW_DATA</t>
  </si>
  <si>
    <t>COST_KWH_INCL_00</t>
  </si>
  <si>
    <t>COST_KWH_INCL_01</t>
  </si>
  <si>
    <t>COST_KWH_INCL_02</t>
  </si>
  <si>
    <t>COST_KWH_INCL_03</t>
  </si>
  <si>
    <t>COST_KWH_INCL_04</t>
  </si>
  <si>
    <t>COST_KWH_INCL_05</t>
  </si>
  <si>
    <t>COST_KWH_INCL_06</t>
  </si>
  <si>
    <t>COST_KWH_INCL_07</t>
  </si>
  <si>
    <t>COST_KWH_INCL_08</t>
  </si>
  <si>
    <t>COST_KWH_INCL_09</t>
  </si>
  <si>
    <t>COST_KWH_INCL_10</t>
  </si>
  <si>
    <t>COST_KWH_INCL_11</t>
  </si>
  <si>
    <t>COST_KWH_INCL_12</t>
  </si>
  <si>
    <t>COST_KWH_INCL_13</t>
  </si>
  <si>
    <t>COST_KWH_INCL_14</t>
  </si>
  <si>
    <t>COST_KWH_INCL_15</t>
  </si>
  <si>
    <t>COST_KWH_INCL_16</t>
  </si>
  <si>
    <t>COST_KWH_INCL_17</t>
  </si>
  <si>
    <t>COST_KWH_INCL_18</t>
  </si>
  <si>
    <t>COST_KWH_INCL_19</t>
  </si>
  <si>
    <t>COST_KWH_INCL_20</t>
  </si>
  <si>
    <t>COST_KWH_INCL_21</t>
  </si>
  <si>
    <t>COST_KWH_INCL_22</t>
  </si>
  <si>
    <t>COST_KWH_INCL_23</t>
  </si>
  <si>
    <t>Price incl tax (buy price - imported from web API)</t>
  </si>
  <si>
    <t>COST_KWH_CURR_BUY</t>
  </si>
  <si>
    <t>COST_KWH_CURR_SELL</t>
  </si>
  <si>
    <t>COST time stamp from Python</t>
  </si>
  <si>
    <t>COST new PRICING data received and available</t>
  </si>
  <si>
    <t>EMS_NEW_DATA</t>
  </si>
  <si>
    <t>MODBUS</t>
  </si>
  <si>
    <t>AUXM_EXTRA_01</t>
  </si>
  <si>
    <t>AUXM_EXTRA_02</t>
  </si>
  <si>
    <t>CVS_DSMR_TIME_STAMP</t>
  </si>
  <si>
    <t>CVS_DSMR_NEW_DATA</t>
  </si>
  <si>
    <t>CVS_DSMR_VERSION</t>
  </si>
  <si>
    <t>CVS_DSMR_ENRG_T1_CONS</t>
  </si>
  <si>
    <t>CVS_DSMR_ENRG_T2_CONS</t>
  </si>
  <si>
    <t>CVS_DSMR_ENRG_T1_PROD</t>
  </si>
  <si>
    <t>CVS_DSMR_ENRG_T2_PROD</t>
  </si>
  <si>
    <t>CVS_DSMR_ACTIVE_TARIF</t>
  </si>
  <si>
    <t>CVS_DSMR_PWR_TOT_CONS</t>
  </si>
  <si>
    <t>CVS_DSMR_PWR_TOT_PROD</t>
  </si>
  <si>
    <t>CVS_DSMR_VOLT_L1</t>
  </si>
  <si>
    <t>CVS_DSMR_VOLT_L2</t>
  </si>
  <si>
    <t>CVS_DSMR_VOLT_L3</t>
  </si>
  <si>
    <t>CVS_DSMR_CURR_L1</t>
  </si>
  <si>
    <t>CVS_DSMR_CURR_L2</t>
  </si>
  <si>
    <t>CVS_DSMR_CURR_L3</t>
  </si>
  <si>
    <t>CVS_DSMR_PWR_L1_CONS</t>
  </si>
  <si>
    <t>CVS_DSMR_PWR_L2_CONS</t>
  </si>
  <si>
    <t>CVS_DSMR_PWR_L3_CONS</t>
  </si>
  <si>
    <t>CVS_DSMR_PWR_L1_PROD</t>
  </si>
  <si>
    <t>CVS_DSMR_PWR_L2_PROD</t>
  </si>
  <si>
    <t>CVS_DSMR_PWR_L3_PROD</t>
  </si>
  <si>
    <t>CVS_DSMR_GAS_TIME_STAMP</t>
  </si>
  <si>
    <t>CVS_DSMR_GAS_VOLUME</t>
  </si>
  <si>
    <t>CVS_DSMR_CONV_VERSION</t>
  </si>
  <si>
    <t>CVS_DSMR_CONV_TIME_STAMP</t>
  </si>
  <si>
    <t>CVS_DSMR_CONV_ENRG_T1_CONS</t>
  </si>
  <si>
    <t>CVS_DSMR_CONV_ENRG_T2_CONS</t>
  </si>
  <si>
    <t>CVS_DSMR_CONV_ENRG_T1_PROD</t>
  </si>
  <si>
    <t>CVS_DSMR_CONV_ENRG_T2_PROD</t>
  </si>
  <si>
    <t>CVS_DSMR_CONV_ACTIVE_TARIF</t>
  </si>
  <si>
    <t>CVS_DSMR_CONV_PWR_TOT_CONS</t>
  </si>
  <si>
    <t>CVS_DSMR_CONV_PWR_TOT_PROD</t>
  </si>
  <si>
    <t>CVS_DSMR_CONV_VOLT_L1</t>
  </si>
  <si>
    <t>CVS_DSMR_CONV_VOLT_L2</t>
  </si>
  <si>
    <t>CVS_DSMR_CONV_VOLT_L3</t>
  </si>
  <si>
    <t>CVS_DSMR_CONV_CURR_L1</t>
  </si>
  <si>
    <t>CVS_DSMR_CONV_CURR_L2</t>
  </si>
  <si>
    <t>CVS_DSMR_CONV_CURR_L3</t>
  </si>
  <si>
    <t>CVS_DSMR_CONV_PWR_L1_CONS</t>
  </si>
  <si>
    <t>CVS_DSMR_CONV_PWR_L2_CONS</t>
  </si>
  <si>
    <t>CVS_DSMR_CONV_PWR_L3_CONS</t>
  </si>
  <si>
    <t>CVS_DSMR_CONV_PWR_L1_PROD</t>
  </si>
  <si>
    <t>CVS_DSMR_CONV_PWR_L2_PROD</t>
  </si>
  <si>
    <t>CVS_DSMR_CONV_PWR_L3_PROD</t>
  </si>
  <si>
    <t>CVS_DSMR_CONV_GAS_TIME_STAMP</t>
  </si>
  <si>
    <t>CVS_DSMR_CONV_GAS_VOLUME</t>
  </si>
  <si>
    <t>CVS_DSMR_SIGN_L1_PWR_ACT</t>
  </si>
  <si>
    <t>CVS_DSMR_SIGN_L2_PWR_ACT</t>
  </si>
  <si>
    <t>CVS_DSMR_SIGN_L3_PWR_ACT</t>
  </si>
  <si>
    <t>CVS_DSMR_SIGN_TOT_PWR_ACT</t>
  </si>
  <si>
    <t>CVS_DSMR_SIGN_L1_PWR_10S</t>
  </si>
  <si>
    <t>CVS_DSMR_SIGN_L2_PWR_10S</t>
  </si>
  <si>
    <t>CVS_DSMR_SIGN_L3_PWR_10S</t>
  </si>
  <si>
    <t>CVS_DSMR_SIGN_TOT_PWR_10S</t>
  </si>
  <si>
    <t>CVS_DSMR_SIGN_L1_PWR_1M</t>
  </si>
  <si>
    <t>CVS_DSMR_SIGN_L2_PWR_1M</t>
  </si>
  <si>
    <t>CVS_DSMR_SIGN_L3_PWR_1M</t>
  </si>
  <si>
    <t>CVS_DSMR_SIGN_TOT_PWR_1M</t>
  </si>
  <si>
    <t>CVS_DSMR_SIGN_L1_PWR_15M</t>
  </si>
  <si>
    <t>CVS_DSMR_SIGN_L2_PWR_15M</t>
  </si>
  <si>
    <t>CVS_DSMR_SIGN_L3_PWR_15M</t>
  </si>
  <si>
    <t>CVS_DSMR_SIGN_TOT_PWR_15M</t>
  </si>
  <si>
    <t>CVS_DSMR_SIGN_L1_PWR_1H</t>
  </si>
  <si>
    <t>CVS_DSMR_SIGN_L2_PWR_1H</t>
  </si>
  <si>
    <t>CVS_DSMR_SIGN_L3_PWR_1H</t>
  </si>
  <si>
    <t>CVS_DSMR_SIGN_TOT_PWR_1H</t>
  </si>
  <si>
    <t>CVS_BATT_TIME_STAMP</t>
  </si>
  <si>
    <t>CVS_BATT_NEW_DATA</t>
  </si>
  <si>
    <t>CVS_BATT_DEVICE_NAME</t>
  </si>
  <si>
    <t>CVS_BATT_FW_VERSION</t>
  </si>
  <si>
    <t>CVS_BATT_GET_DC_VOLT</t>
  </si>
  <si>
    <t>CVS_BATT_GET_DC_CURR</t>
  </si>
  <si>
    <t>CVS_BATT_GET_DC_PWR</t>
  </si>
  <si>
    <t>CVS_BATT_GET_DC_SOC</t>
  </si>
  <si>
    <t>CVS_BATT_GET_DC_TOT_ENRG</t>
  </si>
  <si>
    <t>CVS_BATT_GET_AC_VOLT</t>
  </si>
  <si>
    <t>CVS_BATT_GET_AC_CURR</t>
  </si>
  <si>
    <t>CVS_BATT_GET_AC_PWR</t>
  </si>
  <si>
    <t>CVS_BATT_GET_AC_FREQ</t>
  </si>
  <si>
    <t>CVS_BATT_GET_BACKUP_VOLT</t>
  </si>
  <si>
    <t>CVS_BATT_GET_BACKUP_CURR</t>
  </si>
  <si>
    <t>CVS_BATT_GET_BACKUP_PWR</t>
  </si>
  <si>
    <t>CVS_BATT_GET_TOT_CHARGED</t>
  </si>
  <si>
    <t>CVS_BATT_GET_TOT_DISCHARGED</t>
  </si>
  <si>
    <t>CVS_BATT_GET_DAY_CHARGED</t>
  </si>
  <si>
    <t>CVS_BATT_GET_DAY_DISCHARGED</t>
  </si>
  <si>
    <t>CVS_BATT_GET_MNT_CHARGED</t>
  </si>
  <si>
    <t>CVS_BATT_GET_MNT_DISCHARGED</t>
  </si>
  <si>
    <t>CVS_BATT_GET_INT_TEMP</t>
  </si>
  <si>
    <t>CVS_BATT_GET_MOS1_TEMP</t>
  </si>
  <si>
    <t>CVS_BATT_GET_MOS2_TEMP</t>
  </si>
  <si>
    <t>CVS_BATT_GET_MAX_CELL_TEMP</t>
  </si>
  <si>
    <t>CVS_BATT_GET_MIN_CELL_TEMP</t>
  </si>
  <si>
    <t>CVS_BATT_GET_INV_STATE</t>
  </si>
  <si>
    <t>CVS_BATT_GET_LIMIT_VOLT</t>
  </si>
  <si>
    <t>CVS_BATT_GET_LIMIT_CHARGE_CURR</t>
  </si>
  <si>
    <t>CVS_BATT_GET_LIMIT_DISCHARGE_CURR</t>
  </si>
  <si>
    <t>CVS_BATT_GET_ALARM</t>
  </si>
  <si>
    <t>CVS_BATT_GET_FAULT</t>
  </si>
  <si>
    <t>CVS_BATT_SET_RESTART</t>
  </si>
  <si>
    <t>CVS_BATT_SET_BACKUP</t>
  </si>
  <si>
    <t>CVS_BATT_SET_RTU_MODE</t>
  </si>
  <si>
    <t>CVS_BATT_SET_INV_STATE</t>
  </si>
  <si>
    <t>CVS_BATT_SET_CHARGE_TO_SOC</t>
  </si>
  <si>
    <t>CVS_BATT_SET_PWR_CHARGE</t>
  </si>
  <si>
    <t>CVS_BATT_SET_PWR_DISCHARGE</t>
  </si>
  <si>
    <t>CVS_BATT_SET_USER_MODE</t>
  </si>
  <si>
    <t>CVS_BATT_SET_CHARGE_CUTOFF</t>
  </si>
  <si>
    <t>CVS_BATT_SET_DISCHARGE_CUTOFF</t>
  </si>
  <si>
    <t>CVS_BATT_SET_MAX_CHARGE_PWR</t>
  </si>
  <si>
    <t>CVS_BATT_SET_MAX_DISCHARGE_PWR</t>
  </si>
  <si>
    <t>CVS_BATT_EXTRA_01</t>
  </si>
  <si>
    <t>CVS_BATT_EXTRA_02</t>
  </si>
  <si>
    <t>CVS_AUXM_TIME_STAMP</t>
  </si>
  <si>
    <t>CVS_AUXM_NEW_DATA</t>
  </si>
  <si>
    <t>CVS_AUXM_DZG_TYPE</t>
  </si>
  <si>
    <t>CVS_AUXM_DZG_PWR_IN</t>
  </si>
  <si>
    <t>CVS_AUXM_DZG_PWR_OUT</t>
  </si>
  <si>
    <t>CVS_AUXM_DZG_NRG_IN</t>
  </si>
  <si>
    <t>CVS_AUXM_DZG_NRG_OUT</t>
  </si>
  <si>
    <t>CVS_AUXM_DZG_VOLT_L1</t>
  </si>
  <si>
    <t>CVS_AUXM_DZG_VOLT_L2</t>
  </si>
  <si>
    <t>CVS_AUXM_DZG_VOLT_L3</t>
  </si>
  <si>
    <t>CVS_AUXM_DZG_CUR_L1</t>
  </si>
  <si>
    <t>CVS_AUXM_DZG_CUR_L2</t>
  </si>
  <si>
    <t>CVS_AUXM_DZG_CUR_L3</t>
  </si>
  <si>
    <t>CVS_AUXM_DZG_PWR_L1</t>
  </si>
  <si>
    <t>CVS_AUXM_DZG_PWR_L2</t>
  </si>
  <si>
    <t>CVS_AUXM_DZG_PWR_L3</t>
  </si>
  <si>
    <t>CVS_AUXM_DZG_FREQ</t>
  </si>
  <si>
    <t>CVS_AUXM_DZG_PWR_FACT</t>
  </si>
  <si>
    <t>CVS_AUXM_DZG_FAULT</t>
  </si>
  <si>
    <t>CVS_AUXM_EXTRA_01</t>
  </si>
  <si>
    <t>CVS_AUXM_EXTRA_02</t>
  </si>
  <si>
    <t>CVS_COST_TIME_STAMP</t>
  </si>
  <si>
    <t>CVS_COST_NEW_DATA</t>
  </si>
  <si>
    <t>CVS_COST_KWH_CURR_BUY</t>
  </si>
  <si>
    <t>CVS_COST_KWH_CURR_SELL</t>
  </si>
  <si>
    <t>CVS_COST_KWH_INCL_00</t>
  </si>
  <si>
    <t>CVS_COST_KWH_INCL_01</t>
  </si>
  <si>
    <t>CVS_COST_KWH_INCL_02</t>
  </si>
  <si>
    <t>CVS_COST_KWH_INCL_03</t>
  </si>
  <si>
    <t>CVS_COST_KWH_INCL_04</t>
  </si>
  <si>
    <t>CVS_COST_KWH_INCL_05</t>
  </si>
  <si>
    <t>CVS_COST_KWH_INCL_06</t>
  </si>
  <si>
    <t>CVS_COST_KWH_INCL_07</t>
  </si>
  <si>
    <t>CVS_COST_KWH_INCL_08</t>
  </si>
  <si>
    <t>CVS_COST_KWH_INCL_09</t>
  </si>
  <si>
    <t>CVS_COST_KWH_INCL_10</t>
  </si>
  <si>
    <t>CVS_COST_KWH_INCL_11</t>
  </si>
  <si>
    <t>CVS_COST_KWH_INCL_12</t>
  </si>
  <si>
    <t>CVS_COST_KWH_INCL_13</t>
  </si>
  <si>
    <t>CVS_COST_KWH_INCL_14</t>
  </si>
  <si>
    <t>CVS_COST_KWH_INCL_15</t>
  </si>
  <si>
    <t>CVS_COST_KWH_INCL_16</t>
  </si>
  <si>
    <t>CVS_COST_KWH_INCL_17</t>
  </si>
  <si>
    <t>CVS_COST_KWH_INCL_18</t>
  </si>
  <si>
    <t>CVS_COST_KWH_INCL_19</t>
  </si>
  <si>
    <t>CVS_COST_KWH_INCL_20</t>
  </si>
  <si>
    <t>CVS_COST_KWH_INCL_21</t>
  </si>
  <si>
    <t>CVS_COST_KWH_INCL_22</t>
  </si>
  <si>
    <t>CVS_COST_KWH_INCL_23</t>
  </si>
  <si>
    <t>CVS_EMS_TIME_STAMP</t>
  </si>
  <si>
    <t>CVS_EMS_NEW_DATA</t>
  </si>
  <si>
    <t>CVS_EMS_BATT_CNTR</t>
  </si>
  <si>
    <t>CVS_EMS_DSMR_CNTR</t>
  </si>
  <si>
    <t>CVS_EMS_BSLD_CNTR</t>
  </si>
  <si>
    <t>CVS_EMS_LOG_CNTR</t>
  </si>
  <si>
    <t>CVS_EMS_EMS_CNTR</t>
  </si>
  <si>
    <t>CVS_EMS_AUX_CNTR</t>
  </si>
  <si>
    <t>CVS_EMS_CPU_LOAD</t>
  </si>
  <si>
    <t>CVS_EMS_CUTOFF_HI</t>
  </si>
  <si>
    <t>CVS_EMS_CUTOFF_LO</t>
  </si>
  <si>
    <t>CVS_EMS_BASELOAD</t>
  </si>
  <si>
    <t>CVS_EMS_ZERO_CONS</t>
  </si>
  <si>
    <t>CVS_EMS_ZERO_PROD</t>
  </si>
  <si>
    <t>CVS_EMS_EXTRA_01</t>
  </si>
  <si>
    <t>CVS_EMS_EXTRA_02</t>
  </si>
  <si>
    <t>CVS_EMS_EXTRA_03</t>
  </si>
  <si>
    <t>DSMR_SERIAL_NUM</t>
  </si>
  <si>
    <t>DSMR_GAS_SERIAL_NUM</t>
  </si>
  <si>
    <t>DSMR_CONV_SERIAL_NUM</t>
  </si>
  <si>
    <t>DSMR_CONV_GAS_SERIAL_NUM</t>
  </si>
  <si>
    <t>BATT_SERIAL_NUM</t>
  </si>
  <si>
    <t>CVS_DSMR_SERIAL_NUM</t>
  </si>
  <si>
    <t>CVS_DSMR_GAS_SERIAL_NUM</t>
  </si>
  <si>
    <t>CVS_DSMR_CONV_SERIAL_NUM</t>
  </si>
  <si>
    <t>CVS_DSMR_CONV_GAS_SERIAL_NUM</t>
  </si>
  <si>
    <t>CVS_BATT_SERIAL_NUM</t>
  </si>
  <si>
    <t>[</t>
  </si>
  <si>
    <t>"</t>
  </si>
  <si>
    <t>,</t>
  </si>
  <si>
    <t>", "</t>
  </si>
  <si>
    <t>["</t>
  </si>
  <si>
    <t xml:space="preserve">", </t>
  </si>
  <si>
    <t xml:space="preserve"># --- </t>
  </si>
  <si>
    <t>---</t>
  </si>
  <si>
    <t>OBIS_TIME_STAMP</t>
  </si>
  <si>
    <t>OBIS_VERSION</t>
  </si>
  <si>
    <t>OBIS_SERIAL_NUMBER</t>
  </si>
  <si>
    <t>OBIS_ENRG_T1_CONS</t>
  </si>
  <si>
    <t>OBIS_ENRG_T2_CONS</t>
  </si>
  <si>
    <t>OBIS_ENRG_T1_PROD</t>
  </si>
  <si>
    <t>OBIS_ENRG_T2_PROD</t>
  </si>
  <si>
    <t>OBIS_ACTIVE_TARIF</t>
  </si>
  <si>
    <t xml:space="preserve">96.14.0	</t>
  </si>
  <si>
    <t>OBIS_PWR_TOT_CONS</t>
  </si>
  <si>
    <t>OBIS_PWR_TOT_PROD</t>
  </si>
  <si>
    <t>OBIS_VOLT_L1</t>
  </si>
  <si>
    <t xml:space="preserve">32.7.0	</t>
  </si>
  <si>
    <t>OBIS_VOLT_L2</t>
  </si>
  <si>
    <t xml:space="preserve">52.7.0	</t>
  </si>
  <si>
    <t>OBIS_VOLT_L3</t>
  </si>
  <si>
    <t xml:space="preserve">72.7.0	</t>
  </si>
  <si>
    <t>OBIS_CURR_L1</t>
  </si>
  <si>
    <t xml:space="preserve">31.7.0	</t>
  </si>
  <si>
    <t>OBIS_CURR_L2</t>
  </si>
  <si>
    <t xml:space="preserve">51.7.0	</t>
  </si>
  <si>
    <t>OBIS_CURR_L3</t>
  </si>
  <si>
    <t xml:space="preserve">71.7.0	</t>
  </si>
  <si>
    <t>OBIS_PWR_L1_CONS</t>
  </si>
  <si>
    <t xml:space="preserve">21.7.0	</t>
  </si>
  <si>
    <t>OBIS_PWR_L2_CONS</t>
  </si>
  <si>
    <t xml:space="preserve">41.7.0	</t>
  </si>
  <si>
    <t>OBIS_PWR_L3_CONS</t>
  </si>
  <si>
    <t xml:space="preserve">61.7.0	</t>
  </si>
  <si>
    <t>OBIS_PWR_L1_PROD</t>
  </si>
  <si>
    <t xml:space="preserve">22.7.0	</t>
  </si>
  <si>
    <t>OBIS_PWR_L2_PROD</t>
  </si>
  <si>
    <t xml:space="preserve">42.7.0	</t>
  </si>
  <si>
    <t>OBIS_PWR_L3_PROD</t>
  </si>
  <si>
    <t xml:space="preserve">62.7.0	</t>
  </si>
  <si>
    <t>OBIS_GAS_SERIAL_NUMBER</t>
  </si>
  <si>
    <t xml:space="preserve">96.1.0	</t>
  </si>
  <si>
    <t>OBIS_GAS_TIME_STAMP</t>
  </si>
  <si>
    <t xml:space="preserve">24.2.1	</t>
  </si>
  <si>
    <t>OBIS_GAS_VOLUME</t>
  </si>
  <si>
    <t>:</t>
  </si>
  <si>
    <t xml:space="preserve">1.8.1			</t>
  </si>
  <si>
    <t xml:space="preserve">1.8.2			</t>
  </si>
  <si>
    <t xml:space="preserve">2.8.1			</t>
  </si>
  <si>
    <t xml:space="preserve">2.8.2			</t>
  </si>
  <si>
    <t xml:space="preserve">1.7.0			</t>
  </si>
  <si>
    <t xml:space="preserve">2.7.0			</t>
  </si>
  <si>
    <t>}</t>
  </si>
  <si>
    <t>{</t>
  </si>
  <si>
    <t>]</t>
  </si>
  <si>
    <t>"u", str_value, num_value, ""],</t>
  </si>
  <si>
    <t>"s", str_value, num_value, ""],</t>
  </si>
  <si>
    <t>"u", str_value, num_value, "kWh"],</t>
  </si>
  <si>
    <t>"u", str_value, num_value, "A L2"],</t>
  </si>
  <si>
    <t>"u", str_value, num_value, "A L1"],</t>
  </si>
  <si>
    <t>"u", str_value, num_value, "A L3"],</t>
  </si>
  <si>
    <t>"u", str_value, num_value, "V L3"],</t>
  </si>
  <si>
    <t>"u", str_value, num_value, "V L2"],</t>
  </si>
  <si>
    <t>"u", str_value, num_value, "VL1 "],</t>
  </si>
  <si>
    <t>"u", str_value, num_value, "kW CONS"],</t>
  </si>
  <si>
    <t>"u", str_value, num_value, "kW PROD"],</t>
  </si>
  <si>
    <t>"u", str_value, num_value, "kW L1 CONS"],</t>
  </si>
  <si>
    <t>"u", str_value, num_value, "kW L2 CONS"],</t>
  </si>
  <si>
    <t>"u", str_value, num_value, "kW L3 CONS"],</t>
  </si>
  <si>
    <t>"u", str_value, num_value, "kW L1 PROD"],</t>
  </si>
  <si>
    <t>"u", str_value, num_value, "kW L2 PROD"],</t>
  </si>
  <si>
    <t>"u", str_value, num_value, "kW L3 PROD"],</t>
  </si>
  <si>
    <t>"t", str_value, num_value, ""],</t>
  </si>
  <si>
    <t>"]</t>
  </si>
  <si>
    <t>"],</t>
  </si>
  <si>
    <t>C</t>
  </si>
  <si>
    <t>mv</t>
  </si>
  <si>
    <t>ma</t>
  </si>
  <si>
    <t>W</t>
  </si>
  <si>
    <t>%</t>
  </si>
  <si>
    <t>V</t>
  </si>
  <si>
    <t>A</t>
  </si>
  <si>
    <t>Hz</t>
  </si>
  <si>
    <t>0.1</t>
  </si>
  <si>
    <t>",</t>
  </si>
  <si>
    <t>,"</t>
  </si>
  <si>
    <t>"u",</t>
  </si>
  <si>
    <t>"c",</t>
  </si>
  <si>
    <t>"s",</t>
  </si>
  <si>
    <t>raw_value</t>
  </si>
  <si>
    <t xml:space="preserve"> </t>
  </si>
  <si>
    <t>"b",</t>
  </si>
  <si>
    <t>,1,</t>
  </si>
  <si>
    <t>,0,</t>
  </si>
  <si>
    <t>,3,</t>
  </si>
  <si>
    <t>,2,</t>
  </si>
  <si>
    <t>BATT_SET_UNIT_ID</t>
  </si>
  <si>
    <t>"R",</t>
  </si>
  <si>
    <t>"RW",</t>
  </si>
  <si>
    <t>conv_value</t>
  </si>
  <si>
    <t>Unit ID / Device ID is by default set to 1</t>
  </si>
  <si>
    <t>set charging / discharging power [0-2500W]</t>
  </si>
  <si>
    <t>Set user mode: 0:manual, 1:anti-feed, 2:trade mode</t>
  </si>
  <si>
    <t>BATT_BLCK_DC</t>
  </si>
  <si>
    <t>BATT_BLCK_AC</t>
  </si>
  <si>
    <t>BATT_BLCK_BACKUP</t>
  </si>
  <si>
    <t>BATT_BLCK_TEMP</t>
  </si>
  <si>
    <t>BATT_BLCK_CELL_TEMP</t>
  </si>
  <si>
    <t>BATT_BLCK_GET_STATE</t>
  </si>
  <si>
    <t>BATT_BLCK_LIMITS</t>
  </si>
  <si>
    <t>BATT_BLCK_ALARM</t>
  </si>
  <si>
    <t>BATT_BLCK_FAULT</t>
  </si>
  <si>
    <t>BATT_BLCK_RESTART</t>
  </si>
  <si>
    <t>BATT_BLCK_UNIT_ID</t>
  </si>
  <si>
    <t>BATT_BLCK_RTU_MODE</t>
  </si>
  <si>
    <t>BATT_BLCK_SET_STATE</t>
  </si>
  <si>
    <t>BATT_BLCK_SET_PWR</t>
  </si>
  <si>
    <t>BATT_BLCK_USER_MODE</t>
  </si>
  <si>
    <t>BATT_BLCK_CUTOFF</t>
  </si>
  <si>
    <t>BATT_BLCK_MAX_PWR</t>
  </si>
  <si>
    <t>Set the Unit ID / Device ID</t>
  </si>
  <si>
    <t>BATT_BLCK_DEVICE_NAME</t>
  </si>
  <si>
    <t>BATT_BLCK_FW_VERSION</t>
  </si>
  <si>
    <t>BATT_BLCK_SERIAL_NUM</t>
  </si>
  <si>
    <t>BATT_REGR_DEVICE_NAME</t>
  </si>
  <si>
    <t>BATT_REGR_FW_VERSION</t>
  </si>
  <si>
    <t>BATT_REGR_SERIAL_NUM</t>
  </si>
  <si>
    <t>BATT_REGR_DC</t>
  </si>
  <si>
    <t>BATT_REGR_AC</t>
  </si>
  <si>
    <t>BATT_REGR_BACKUP</t>
  </si>
  <si>
    <t>BATT_REGR_TEMP</t>
  </si>
  <si>
    <t>BATT_REGR_CELL_TEMP</t>
  </si>
  <si>
    <t>BATT_REGR_GET_STATE</t>
  </si>
  <si>
    <t>BATT_REGR_LIMITS</t>
  </si>
  <si>
    <t>BATT_REGR_ALARM</t>
  </si>
  <si>
    <t>BATT_REGR_FAULT</t>
  </si>
  <si>
    <t>BATT_REGR_RESTART</t>
  </si>
  <si>
    <t>BATT_REGR_UNIT_ID</t>
  </si>
  <si>
    <t>BATT_REGR_RTU_MODE</t>
  </si>
  <si>
    <t>BATT_REGR_SET_STATE</t>
  </si>
  <si>
    <t>BATT_REGR_SET_PWR</t>
  </si>
  <si>
    <t>BATT_REGR_USER_MODE</t>
  </si>
  <si>
    <t>BATT_REGR_CUTOFF</t>
  </si>
  <si>
    <t>BATT_REGR_MAX_PWR</t>
  </si>
  <si>
    <t>BATT_SIZE_DEVICE_NAME</t>
  </si>
  <si>
    <t>BATT_SIZE_FW_VERSION</t>
  </si>
  <si>
    <t>BATT_SIZE_SERIAL_NUM</t>
  </si>
  <si>
    <t>BATT_SIZE_DC</t>
  </si>
  <si>
    <t>BATT_SIZE_AC</t>
  </si>
  <si>
    <t>BATT_SIZE_BACKUP</t>
  </si>
  <si>
    <t>BATT_SIZE_TEMP</t>
  </si>
  <si>
    <t>BATT_SIZE_CELL_TEMP</t>
  </si>
  <si>
    <t>BATT_SIZE_GET_STATE</t>
  </si>
  <si>
    <t>BATT_SIZE_LIMITS</t>
  </si>
  <si>
    <t>BATT_SIZE_ALARM</t>
  </si>
  <si>
    <t>BATT_SIZE_FAULT</t>
  </si>
  <si>
    <t>BATT_SIZE_RESTART</t>
  </si>
  <si>
    <t>BATT_SIZE_UNIT_ID</t>
  </si>
  <si>
    <t>BATT_SIZE_RTU_MODE</t>
  </si>
  <si>
    <t>BATT_SIZE_SET_STATE</t>
  </si>
  <si>
    <t>BATT_SIZE_SET_PWR</t>
  </si>
  <si>
    <t>BATT_SIZE_USER_MODE</t>
  </si>
  <si>
    <t>BATT_SIZE_CUTOFF</t>
  </si>
  <si>
    <t>BATT_SIZE_MAX_PWR</t>
  </si>
  <si>
    <t>bytes</t>
  </si>
  <si>
    <t>BATT_SIZE_STATS</t>
  </si>
  <si>
    <t>BATT_REGR_STATS</t>
  </si>
  <si>
    <t>BATT_BLCK_STATS</t>
  </si>
  <si>
    <t>words</t>
  </si>
  <si>
    <t>Unit ID / Device ID is by default set to 1 [1 .. 255]</t>
  </si>
  <si>
    <t>set charging and discharging power [0-2500W]</t>
  </si>
  <si>
    <t>string of bytes</t>
  </si>
  <si>
    <t>version number 1.24</t>
  </si>
  <si>
    <t>MARSTEK MODBUS ADDRESS BLOCKS</t>
  </si>
  <si>
    <t>MARSTEK MODBUS BLOCK SIZES</t>
  </si>
  <si>
    <t>MRST_DEVICE_NAME</t>
  </si>
  <si>
    <t>MRST_FW_VERSION</t>
  </si>
  <si>
    <t>MRST_SERIAL_NUM</t>
  </si>
  <si>
    <t>MRST_DC_VOLT</t>
  </si>
  <si>
    <t>MRST_DC_CURR</t>
  </si>
  <si>
    <t>MRST_DC_PWR</t>
  </si>
  <si>
    <t>MRST_DC_SOC</t>
  </si>
  <si>
    <t>MRST_DC_TOT_ENRG</t>
  </si>
  <si>
    <t>MRST_AC_VOLT</t>
  </si>
  <si>
    <t>MRST_AC_CURR</t>
  </si>
  <si>
    <t>MRST_AC_PWR</t>
  </si>
  <si>
    <t>MRST_AC_FREQ</t>
  </si>
  <si>
    <t>MRST_BACKUP_VOLT</t>
  </si>
  <si>
    <t>MRST_BACKUP_CURR</t>
  </si>
  <si>
    <t>MRST_BACKUP_PWR</t>
  </si>
  <si>
    <t>MRST_TOT_CHARGED</t>
  </si>
  <si>
    <t>MRST_TOT_DISCHARGED</t>
  </si>
  <si>
    <t>MRST_DAY_CHARGED</t>
  </si>
  <si>
    <t>MRST_DAY_DISCHARGED</t>
  </si>
  <si>
    <t>MRST_MNT_CHARGED</t>
  </si>
  <si>
    <t>MRST_MNT_DISCHARGED</t>
  </si>
  <si>
    <t>MRST_INT_TEMP</t>
  </si>
  <si>
    <t>MRST_MOS1_TEMP</t>
  </si>
  <si>
    <t>MRST_MOS2_TEMP</t>
  </si>
  <si>
    <t>MRST_MAX_CELL_TEMP</t>
  </si>
  <si>
    <t>MRST_MIN_CELL_TEMP</t>
  </si>
  <si>
    <t>MRST_INV_STATE</t>
  </si>
  <si>
    <t>MRST_LIMIT_VOLT</t>
  </si>
  <si>
    <t>MRST_LIMIT_CHARGE_CURR</t>
  </si>
  <si>
    <t>MRST_LIMIT_DISCHARGE_CURR</t>
  </si>
  <si>
    <t>MRST_ALARM</t>
  </si>
  <si>
    <t>MRST_FAULT</t>
  </si>
  <si>
    <t>MRST_RESTART</t>
  </si>
  <si>
    <t>MRST_UNIT_ID</t>
  </si>
  <si>
    <t>MRST_BACKUP</t>
  </si>
  <si>
    <t>MRST_RTU_MODE</t>
  </si>
  <si>
    <t>MRST_CHARGE_TO_SOC</t>
  </si>
  <si>
    <t>MRST_PWR_CHARGE</t>
  </si>
  <si>
    <t>MRST_PWR_DISCHARGE</t>
  </si>
  <si>
    <t>MRST_USER_MODE</t>
  </si>
  <si>
    <t>MRST_CHARGE_CUTOFF</t>
  </si>
  <si>
    <t>MRST_DISCHARGE_CUTOFF</t>
  </si>
  <si>
    <t>MRST_MAX_CHARGE_PWR</t>
  </si>
  <si>
    <t>MRST_MAX_DISCHARGE_PWR</t>
  </si>
  <si>
    <t>pos is charge</t>
  </si>
  <si>
    <t>pos is discharge</t>
  </si>
  <si>
    <t>"name",</t>
  </si>
  <si>
    <t>"addr",</t>
  </si>
  <si>
    <t>"regs",</t>
  </si>
  <si>
    <t>"blck",</t>
  </si>
  <si>
    <t>"offset",</t>
  </si>
  <si>
    <t>"r/w",</t>
  </si>
  <si>
    <t>"type",</t>
  </si>
  <si>
    <t>"raw",</t>
  </si>
  <si>
    <t>"converted",</t>
  </si>
  <si>
    <t>"gain",</t>
  </si>
  <si>
    <t>"unit",</t>
  </si>
  <si>
    <t>"desc"</t>
  </si>
  <si>
    <t>],</t>
  </si>
  <si>
    <t>MRST_DC_PWR_DIR</t>
  </si>
  <si>
    <t>MRST_DC_PWR_VAL</t>
  </si>
  <si>
    <t>MRST_AC_PWR_DIR</t>
  </si>
  <si>
    <t>MRST_AC_PWR_VAL</t>
  </si>
  <si>
    <t>MRST_BACKUP_PWR_DIR</t>
  </si>
  <si>
    <t>MRST_BACKUP_PWR_VAL</t>
  </si>
  <si>
    <t>MRST_TOT_CHARGED_H</t>
  </si>
  <si>
    <t>MRST_TOT_CHARGED_L</t>
  </si>
  <si>
    <t>MRST_TOT_DISCHARGED_H</t>
  </si>
  <si>
    <t>MRST_DAY_CHARGED_H</t>
  </si>
  <si>
    <t>MRST_DAY_DISCHARGED_H</t>
  </si>
  <si>
    <t>MRST_MNT_CHARGED_H</t>
  </si>
  <si>
    <t>MRST_MNT_DISCHARGED_H</t>
  </si>
  <si>
    <t>MRST_TOT_DISCHARGED_L</t>
  </si>
  <si>
    <t>MRST_DAY_CHARGED_L</t>
  </si>
  <si>
    <t>MRST_DAY_DISCHARGED_L</t>
  </si>
  <si>
    <t>MRST_MNT_CHARGED_L</t>
  </si>
  <si>
    <t>MRST_MNT_DISCHARGED_L</t>
  </si>
  <si>
    <t>"DN"</t>
  </si>
  <si>
    <t>"SN"</t>
  </si>
  <si>
    <t>"DC"</t>
  </si>
  <si>
    <t>"AC"</t>
  </si>
  <si>
    <t>"FW"</t>
  </si>
  <si>
    <t>"BU"</t>
  </si>
  <si>
    <t>"ST"</t>
  </si>
  <si>
    <t>"TP"</t>
  </si>
  <si>
    <t>"CT"</t>
  </si>
  <si>
    <t>"IS"</t>
  </si>
  <si>
    <t>"RS"</t>
  </si>
  <si>
    <t>"LT"</t>
  </si>
  <si>
    <t>"RM"</t>
  </si>
  <si>
    <t>"UM"</t>
  </si>
  <si>
    <t>"PW"</t>
  </si>
  <si>
    <t>"AL"</t>
  </si>
  <si>
    <t>"FT"</t>
  </si>
  <si>
    <t>"UI"</t>
  </si>
  <si>
    <t>"IV"</t>
  </si>
  <si>
    <t>"BK"</t>
  </si>
  <si>
    <t>"CO"</t>
  </si>
  <si>
    <t>MRST_FAULT_MSB</t>
  </si>
  <si>
    <t>MRST_FAULT_LSB</t>
  </si>
  <si>
    <t>"NAME",</t>
  </si>
  <si>
    <t>"ADDR",</t>
  </si>
  <si>
    <t>"ABBR",</t>
  </si>
  <si>
    <t>"BLCK",</t>
  </si>
  <si>
    <t>"OFFSET",</t>
  </si>
  <si>
    <t>"MODE",</t>
  </si>
  <si>
    <t>"TYPE",</t>
  </si>
  <si>
    <t>"RAWV",</t>
  </si>
  <si>
    <t>"GAIN",</t>
  </si>
  <si>
    <t>"UNIT",</t>
  </si>
  <si>
    <t>"DESC"</t>
  </si>
  <si>
    <t>"REGS",</t>
  </si>
  <si>
    <t>"CONV",</t>
  </si>
  <si>
    <t xml:space="preserve"># --- Index for MARSTEK VENUS E fields ---- </t>
  </si>
  <si>
    <t>#</t>
  </si>
  <si>
    <t>MRST_BLCK_SERIAL_NUM</t>
  </si>
  <si>
    <t>MRST_BLCK_INV_STATE</t>
  </si>
  <si>
    <t>MRST_BLCK_FAULT</t>
  </si>
  <si>
    <t>MRST_BLCK_BACKUP</t>
  </si>
  <si>
    <t>MRST_BLCK_DC</t>
  </si>
  <si>
    <t>MRST_BLCK_AC</t>
  </si>
  <si>
    <t>MRST_BLCK_TEMP</t>
  </si>
  <si>
    <t>MRST_BLCK_LIMT</t>
  </si>
  <si>
    <t>MRST_BLCK_ALRM</t>
  </si>
  <si>
    <t>MRST_BLCK_SET_MODE</t>
  </si>
  <si>
    <t>MRST_BLCK_SET_STATE</t>
  </si>
  <si>
    <t>MRST_BLCK_SET_PWR</t>
  </si>
  <si>
    <t>MRST_BLCK_SET_CUTOFF</t>
  </si>
  <si>
    <t>MRST_BLCK_DEV_NAME</t>
  </si>
  <si>
    <t>MRST_BLCK_FW_VER</t>
  </si>
  <si>
    <t>MRST_BLCK_STATS</t>
  </si>
  <si>
    <t>MRST_BLCK_CELL_TEMP</t>
  </si>
  <si>
    <t>MRST_BLCK_SET_RESTART</t>
  </si>
  <si>
    <t>MRST_BLCK_SET_UNIT_ID</t>
  </si>
  <si>
    <t>MRST_BLCK_SET_BACKUP</t>
  </si>
  <si>
    <t>"INDX",</t>
  </si>
  <si>
    <t>Register address</t>
  </si>
  <si>
    <t>Field name</t>
  </si>
  <si>
    <t>Abbreviation</t>
  </si>
  <si>
    <t>Block size (how many regs)</t>
  </si>
  <si>
    <t>Offset to start of block</t>
  </si>
  <si>
    <t>Read amd/or Write register</t>
  </si>
  <si>
    <t>Variable type "char", "unsigned int", "signed int"</t>
  </si>
  <si>
    <t>Value (raw modbus word)</t>
  </si>
  <si>
    <t>Gain per unit</t>
  </si>
  <si>
    <t>Unit</t>
  </si>
  <si>
    <t>Description</t>
  </si>
  <si>
    <t>IDXM_NAME</t>
  </si>
  <si>
    <t>IDXM_ADDR</t>
  </si>
  <si>
    <t>IDXM_INDX</t>
  </si>
  <si>
    <t>IDXM_ABBR</t>
  </si>
  <si>
    <t>IDXM_BLCK</t>
  </si>
  <si>
    <t>IDXM_OFFS</t>
  </si>
  <si>
    <t>IDXM_MODE</t>
  </si>
  <si>
    <t>IDXM_TYPE</t>
  </si>
  <si>
    <t>IDXM_RAWV</t>
  </si>
  <si>
    <t>IDXM_GAIN</t>
  </si>
  <si>
    <t>IDXM_UNIT</t>
  </si>
  <si>
    <t>IDXM_DESC</t>
  </si>
  <si>
    <t>Index in the list</t>
  </si>
  <si>
    <t>con_value</t>
  </si>
  <si>
    <t>MRST_LIMIT_DISCHARG_CURR</t>
  </si>
  <si>
    <t>range:[0..2500W]</t>
  </si>
  <si>
    <t>range:[12%..30%]</t>
  </si>
  <si>
    <t>range:[80%..100%]</t>
  </si>
  <si>
    <t>0x55AA--&gt;restart</t>
  </si>
  <si>
    <t>unit id [1..255]</t>
  </si>
  <si>
    <t>0:enable, 1:disbale</t>
  </si>
  <si>
    <t>0:stop,1:charge,2:discharge</t>
  </si>
  <si>
    <t>charge to target SOC</t>
  </si>
  <si>
    <t>0:manual,1:anti-feed,2:trade-mode</t>
  </si>
  <si>
    <t>ON:0x55AA, OFF: 0x55BB</t>
  </si>
  <si>
    <t>Fault double register</t>
  </si>
  <si>
    <t>Alarm register</t>
  </si>
  <si>
    <t>Fault register</t>
  </si>
  <si>
    <t>°C</t>
  </si>
  <si>
    <t>BATT_DC_CURR</t>
  </si>
  <si>
    <t>BATT_DC_PWR_DIR</t>
  </si>
  <si>
    <t>BATT_DC_PWR_VAL</t>
  </si>
  <si>
    <t>BATT_DC_TOT_ENRG</t>
  </si>
  <si>
    <t>BATT_AC_CURR</t>
  </si>
  <si>
    <t>BATT_AC_PWR_DIR</t>
  </si>
  <si>
    <t>BATT_AC_PWR_VAL</t>
  </si>
  <si>
    <t>BATT_AC_FREQ</t>
  </si>
  <si>
    <t>BATT_BACKUP_VOLT</t>
  </si>
  <si>
    <t>BATT_BACKUP_CURR</t>
  </si>
  <si>
    <t>BATT_BACKUP_PWR_DIR</t>
  </si>
  <si>
    <t>BATT_BACKUP_PWR_VAL</t>
  </si>
  <si>
    <t>BATT_MAX_CELL_TEMP</t>
  </si>
  <si>
    <t>BATT_MIN_CELL_TEMP</t>
  </si>
  <si>
    <t>BATT_LIMIT_VOLT</t>
  </si>
  <si>
    <t>BATT_LIMIT_CHARGE_CURR</t>
  </si>
  <si>
    <t>BATT_LIMIT_DISCHARG_CURR</t>
  </si>
  <si>
    <t>BATT_FAULT_LSB</t>
  </si>
  <si>
    <t>BATT_FAULT_MSB</t>
  </si>
  <si>
    <t>BATT_RESTART</t>
  </si>
  <si>
    <t>BATT_UNIT_ID</t>
  </si>
  <si>
    <t>BATT_BACKUP</t>
  </si>
  <si>
    <t>BATT_RTU_MODE</t>
  </si>
  <si>
    <t>BATT_CHARGE_TO_SOC</t>
  </si>
  <si>
    <t>BATT_CHARGE_CUTOFF</t>
  </si>
  <si>
    <t>BATT_DISCHARGE_CUTOFF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</si>
</sst>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/>
    <xf numFmtId="0" fontId="0" fillId="3" borderId="0" xfId="0" applyFill="1"/>
    <xf numFmtId="0" fontId="0" fillId="5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/>
    <xf numFmtId="0" fontId="0" fillId="10" borderId="0" xfId="0" applyFill="1" applyAlignment="1">
      <alignment horizontal="center"/>
    </xf>
    <xf numFmtId="0" fontId="0" fillId="10" borderId="0" xfId="0" applyFill="1"/>
    <xf numFmtId="0" fontId="0" fillId="6" borderId="0" xfId="0" applyFill="1"/>
    <xf numFmtId="0" fontId="0" fillId="11" borderId="0" xfId="0" applyFill="1"/>
    <xf numFmtId="0" fontId="0" fillId="12" borderId="0" xfId="0" applyFill="1"/>
    <xf numFmtId="0" fontId="0" fillId="10" borderId="0" xfId="0" quotePrefix="1" applyFill="1" applyAlignment="1">
      <alignment horizontal="center"/>
    </xf>
    <xf numFmtId="0" fontId="0" fillId="13" borderId="0" xfId="0" applyFill="1"/>
    <xf numFmtId="3" fontId="0" fillId="5" borderId="0" xfId="0" applyNumberFormat="1" applyFill="1"/>
    <xf numFmtId="14" fontId="0" fillId="0" borderId="0" xfId="0" applyNumberFormat="1"/>
    <xf numFmtId="20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49" fontId="0" fillId="6" borderId="0" xfId="0" quotePrefix="1" applyNumberFormat="1" applyFill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6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15" borderId="1" xfId="0" applyFill="1" applyBorder="1" applyAlignment="1">
      <alignment horizontal="right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0" fillId="14" borderId="1" xfId="0" applyFill="1" applyBorder="1" applyAlignment="1">
      <alignment horizontal="right"/>
    </xf>
    <xf numFmtId="0" fontId="0" fillId="14" borderId="1" xfId="0" applyFill="1" applyBorder="1" applyAlignment="1">
      <alignment horizontal="center"/>
    </xf>
    <xf numFmtId="0" fontId="0" fillId="14" borderId="1" xfId="0" applyFill="1" applyBorder="1"/>
    <xf numFmtId="0" fontId="2" fillId="16" borderId="0" xfId="0" applyFont="1" applyFill="1"/>
    <xf numFmtId="0" fontId="2" fillId="16" borderId="0" xfId="0" applyFont="1" applyFill="1" applyAlignment="1">
      <alignment horizontal="center"/>
    </xf>
    <xf numFmtId="0" fontId="2" fillId="16" borderId="0" xfId="0" applyFont="1" applyFill="1" applyAlignment="1">
      <alignment horizontal="right"/>
    </xf>
    <xf numFmtId="0" fontId="2" fillId="16" borderId="0" xfId="0" applyFont="1" applyFill="1" applyAlignment="1">
      <alignment horizontal="left"/>
    </xf>
    <xf numFmtId="49" fontId="0" fillId="6" borderId="0" xfId="0" applyNumberFormat="1" applyFill="1"/>
    <xf numFmtId="0" fontId="0" fillId="6" borderId="0" xfId="0" quotePrefix="1" applyFill="1" applyAlignment="1">
      <alignment horizontal="center"/>
    </xf>
    <xf numFmtId="0" fontId="0" fillId="6" borderId="0" xfId="0" quotePrefix="1" applyFill="1"/>
    <xf numFmtId="0" fontId="0" fillId="6" borderId="1" xfId="0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8" borderId="1" xfId="0" applyFill="1" applyBorder="1" applyAlignment="1">
      <alignment horizontal="right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6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A55F-D13B-4CBD-821E-CA169A8E9737}">
  <dimension ref="A1:O55"/>
  <sheetViews>
    <sheetView zoomScale="115" zoomScaleNormal="115" workbookViewId="0">
      <selection activeCell="Q34" sqref="Q34"/>
    </sheetView>
  </sheetViews>
  <sheetFormatPr defaultRowHeight="15" x14ac:dyDescent="0.25"/>
  <cols>
    <col min="2" max="2" width="7.42578125" bestFit="1" customWidth="1"/>
    <col min="3" max="3" width="1.5703125" bestFit="1" customWidth="1"/>
    <col min="4" max="4" width="1.7109375" bestFit="1" customWidth="1"/>
    <col min="5" max="5" width="26.42578125" style="55" customWidth="1"/>
    <col min="6" max="6" width="2.28515625" bestFit="1" customWidth="1"/>
    <col min="7" max="7" width="5.28515625" style="1" customWidth="1"/>
    <col min="8" max="8" width="1.5703125" style="1" bestFit="1" customWidth="1"/>
    <col min="9" max="9" width="9.85546875" style="1" bestFit="1" customWidth="1"/>
    <col min="10" max="10" width="2.28515625" style="1" bestFit="1" customWidth="1"/>
    <col min="11" max="11" width="6.42578125" style="1" bestFit="1" customWidth="1"/>
    <col min="12" max="12" width="2.28515625" style="1" bestFit="1" customWidth="1"/>
    <col min="13" max="13" width="1.7109375" style="1" bestFit="1" customWidth="1"/>
    <col min="14" max="14" width="31.7109375" style="55" customWidth="1"/>
    <col min="15" max="15" width="2.85546875" style="1" bestFit="1" customWidth="1"/>
  </cols>
  <sheetData>
    <row r="1" spans="1:15" x14ac:dyDescent="0.25">
      <c r="A1" s="42" t="s">
        <v>684</v>
      </c>
      <c r="B1" s="41" t="s">
        <v>997</v>
      </c>
      <c r="C1" s="41"/>
      <c r="D1" s="42"/>
      <c r="E1" s="43" t="s">
        <v>962</v>
      </c>
      <c r="F1" s="40"/>
      <c r="G1" s="41" t="s">
        <v>964</v>
      </c>
      <c r="H1" s="41"/>
      <c r="I1" s="41" t="s">
        <v>974</v>
      </c>
      <c r="J1" s="41"/>
      <c r="K1" s="41" t="s">
        <v>971</v>
      </c>
      <c r="L1" s="41"/>
      <c r="M1" s="41"/>
      <c r="N1" s="43" t="s">
        <v>972</v>
      </c>
      <c r="O1" s="41" t="s">
        <v>920</v>
      </c>
    </row>
    <row r="2" spans="1:15" x14ac:dyDescent="0.25">
      <c r="A2" s="31" t="s">
        <v>684</v>
      </c>
      <c r="B2" s="31">
        <v>1</v>
      </c>
      <c r="C2" s="7" t="s">
        <v>686</v>
      </c>
      <c r="D2" s="31" t="s">
        <v>685</v>
      </c>
      <c r="E2" s="53" t="s">
        <v>862</v>
      </c>
      <c r="F2" s="7" t="s">
        <v>771</v>
      </c>
      <c r="G2" s="7" t="s">
        <v>939</v>
      </c>
      <c r="H2" s="7" t="s">
        <v>686</v>
      </c>
      <c r="I2" s="7" t="s">
        <v>1022</v>
      </c>
      <c r="J2" s="7" t="s">
        <v>772</v>
      </c>
      <c r="K2" s="7" t="s">
        <v>777</v>
      </c>
      <c r="L2" s="7" t="s">
        <v>771</v>
      </c>
      <c r="M2" s="7" t="s">
        <v>685</v>
      </c>
      <c r="N2" s="53"/>
      <c r="O2" s="7" t="s">
        <v>761</v>
      </c>
    </row>
    <row r="3" spans="1:15" x14ac:dyDescent="0.25">
      <c r="A3" s="32" t="s">
        <v>684</v>
      </c>
      <c r="B3" s="32">
        <v>2</v>
      </c>
      <c r="C3" s="27" t="s">
        <v>686</v>
      </c>
      <c r="D3" s="32" t="s">
        <v>685</v>
      </c>
      <c r="E3" s="54" t="s">
        <v>863</v>
      </c>
      <c r="F3" s="27" t="s">
        <v>771</v>
      </c>
      <c r="G3" s="27" t="s">
        <v>943</v>
      </c>
      <c r="H3" s="27" t="s">
        <v>686</v>
      </c>
      <c r="I3" s="27" t="s">
        <v>1022</v>
      </c>
      <c r="J3" s="27" t="s">
        <v>772</v>
      </c>
      <c r="K3" s="27" t="s">
        <v>777</v>
      </c>
      <c r="L3" s="27" t="s">
        <v>771</v>
      </c>
      <c r="M3" s="27" t="s">
        <v>685</v>
      </c>
      <c r="N3" s="54"/>
      <c r="O3" s="27" t="s">
        <v>761</v>
      </c>
    </row>
    <row r="4" spans="1:15" x14ac:dyDescent="0.25">
      <c r="A4" s="31" t="s">
        <v>684</v>
      </c>
      <c r="B4" s="31">
        <v>3</v>
      </c>
      <c r="C4" s="7" t="s">
        <v>686</v>
      </c>
      <c r="D4" s="31" t="s">
        <v>685</v>
      </c>
      <c r="E4" s="53" t="s">
        <v>864</v>
      </c>
      <c r="F4" s="7" t="s">
        <v>771</v>
      </c>
      <c r="G4" s="7" t="s">
        <v>940</v>
      </c>
      <c r="H4" s="7" t="s">
        <v>686</v>
      </c>
      <c r="I4" s="7" t="s">
        <v>1022</v>
      </c>
      <c r="J4" s="7" t="s">
        <v>772</v>
      </c>
      <c r="K4" s="7" t="s">
        <v>777</v>
      </c>
      <c r="L4" s="7" t="s">
        <v>771</v>
      </c>
      <c r="M4" s="7" t="s">
        <v>685</v>
      </c>
      <c r="N4" s="53"/>
      <c r="O4" s="7" t="s">
        <v>761</v>
      </c>
    </row>
    <row r="5" spans="1:15" x14ac:dyDescent="0.25">
      <c r="A5" s="32" t="s">
        <v>684</v>
      </c>
      <c r="B5" s="32">
        <v>4</v>
      </c>
      <c r="C5" s="27" t="s">
        <v>686</v>
      </c>
      <c r="D5" s="32" t="s">
        <v>685</v>
      </c>
      <c r="E5" s="54" t="s">
        <v>865</v>
      </c>
      <c r="F5" s="27" t="s">
        <v>771</v>
      </c>
      <c r="G5" s="27" t="s">
        <v>941</v>
      </c>
      <c r="H5" s="27" t="s">
        <v>686</v>
      </c>
      <c r="I5" s="27" t="s">
        <v>1022</v>
      </c>
      <c r="J5" s="27" t="s">
        <v>772</v>
      </c>
      <c r="K5" s="27" t="s">
        <v>767</v>
      </c>
      <c r="L5" s="27" t="s">
        <v>771</v>
      </c>
      <c r="M5" s="27" t="s">
        <v>685</v>
      </c>
      <c r="N5" s="54"/>
      <c r="O5" s="27" t="s">
        <v>761</v>
      </c>
    </row>
    <row r="6" spans="1:15" x14ac:dyDescent="0.25">
      <c r="A6" s="32" t="s">
        <v>684</v>
      </c>
      <c r="B6" s="32">
        <v>5</v>
      </c>
      <c r="C6" s="27" t="s">
        <v>686</v>
      </c>
      <c r="D6" s="32" t="s">
        <v>685</v>
      </c>
      <c r="E6" s="54" t="s">
        <v>866</v>
      </c>
      <c r="F6" s="27" t="s">
        <v>771</v>
      </c>
      <c r="G6" s="27" t="s">
        <v>941</v>
      </c>
      <c r="H6" s="27" t="s">
        <v>686</v>
      </c>
      <c r="I6" s="27" t="s">
        <v>1022</v>
      </c>
      <c r="J6" s="27" t="s">
        <v>772</v>
      </c>
      <c r="K6" s="27" t="s">
        <v>768</v>
      </c>
      <c r="L6" s="27" t="s">
        <v>771</v>
      </c>
      <c r="M6" s="27" t="s">
        <v>685</v>
      </c>
      <c r="N6" s="54"/>
      <c r="O6" s="27" t="s">
        <v>761</v>
      </c>
    </row>
    <row r="7" spans="1:15" x14ac:dyDescent="0.25">
      <c r="A7" s="32" t="s">
        <v>684</v>
      </c>
      <c r="B7" s="32">
        <v>6</v>
      </c>
      <c r="C7" s="27" t="s">
        <v>686</v>
      </c>
      <c r="D7" s="32" t="s">
        <v>685</v>
      </c>
      <c r="E7" s="54" t="s">
        <v>921</v>
      </c>
      <c r="F7" s="27" t="s">
        <v>771</v>
      </c>
      <c r="G7" s="27" t="s">
        <v>941</v>
      </c>
      <c r="H7" s="27" t="s">
        <v>686</v>
      </c>
      <c r="I7" s="27" t="s">
        <v>1022</v>
      </c>
      <c r="J7" s="27" t="s">
        <v>772</v>
      </c>
      <c r="K7" s="27" t="s">
        <v>765</v>
      </c>
      <c r="L7" s="27" t="s">
        <v>771</v>
      </c>
      <c r="M7" s="27" t="s">
        <v>685</v>
      </c>
      <c r="N7" s="54" t="s">
        <v>906</v>
      </c>
      <c r="O7" s="27" t="s">
        <v>761</v>
      </c>
    </row>
    <row r="8" spans="1:15" x14ac:dyDescent="0.25">
      <c r="A8" s="32" t="s">
        <v>684</v>
      </c>
      <c r="B8" s="32">
        <v>7</v>
      </c>
      <c r="C8" s="27" t="s">
        <v>686</v>
      </c>
      <c r="D8" s="32" t="s">
        <v>685</v>
      </c>
      <c r="E8" s="54" t="s">
        <v>922</v>
      </c>
      <c r="F8" s="27" t="s">
        <v>771</v>
      </c>
      <c r="G8" s="27" t="s">
        <v>941</v>
      </c>
      <c r="H8" s="27" t="s">
        <v>686</v>
      </c>
      <c r="I8" s="27" t="s">
        <v>1022</v>
      </c>
      <c r="J8" s="27" t="s">
        <v>772</v>
      </c>
      <c r="K8" s="27" t="s">
        <v>765</v>
      </c>
      <c r="L8" s="27" t="s">
        <v>771</v>
      </c>
      <c r="M8" s="27" t="s">
        <v>685</v>
      </c>
      <c r="N8" s="54" t="s">
        <v>906</v>
      </c>
      <c r="O8" s="27" t="s">
        <v>761</v>
      </c>
    </row>
    <row r="9" spans="1:15" x14ac:dyDescent="0.25">
      <c r="A9" s="32" t="s">
        <v>684</v>
      </c>
      <c r="B9" s="32">
        <v>8</v>
      </c>
      <c r="C9" s="27" t="s">
        <v>686</v>
      </c>
      <c r="D9" s="32" t="s">
        <v>685</v>
      </c>
      <c r="E9" s="54" t="s">
        <v>868</v>
      </c>
      <c r="F9" s="27" t="s">
        <v>771</v>
      </c>
      <c r="G9" s="27" t="s">
        <v>941</v>
      </c>
      <c r="H9" s="27" t="s">
        <v>686</v>
      </c>
      <c r="I9" s="27" t="s">
        <v>1022</v>
      </c>
      <c r="J9" s="27" t="s">
        <v>772</v>
      </c>
      <c r="K9" s="27" t="s">
        <v>766</v>
      </c>
      <c r="L9" s="27" t="s">
        <v>771</v>
      </c>
      <c r="M9" s="27" t="s">
        <v>685</v>
      </c>
      <c r="N9" s="54"/>
      <c r="O9" s="27" t="s">
        <v>761</v>
      </c>
    </row>
    <row r="10" spans="1:15" x14ac:dyDescent="0.25">
      <c r="A10" s="32" t="s">
        <v>684</v>
      </c>
      <c r="B10" s="32">
        <v>9</v>
      </c>
      <c r="C10" s="27" t="s">
        <v>686</v>
      </c>
      <c r="D10" s="32" t="s">
        <v>685</v>
      </c>
      <c r="E10" s="54" t="s">
        <v>869</v>
      </c>
      <c r="F10" s="27" t="s">
        <v>771</v>
      </c>
      <c r="G10" s="27" t="s">
        <v>941</v>
      </c>
      <c r="H10" s="27" t="s">
        <v>686</v>
      </c>
      <c r="I10" s="27" t="s">
        <v>1022</v>
      </c>
      <c r="J10" s="27" t="s">
        <v>772</v>
      </c>
      <c r="K10" s="27" t="s">
        <v>21</v>
      </c>
      <c r="L10" s="27" t="s">
        <v>771</v>
      </c>
      <c r="M10" s="27" t="s">
        <v>685</v>
      </c>
      <c r="N10" s="54"/>
      <c r="O10" s="27" t="s">
        <v>761</v>
      </c>
    </row>
    <row r="11" spans="1:15" x14ac:dyDescent="0.25">
      <c r="A11" s="31" t="s">
        <v>684</v>
      </c>
      <c r="B11" s="31">
        <v>10</v>
      </c>
      <c r="C11" s="7" t="s">
        <v>686</v>
      </c>
      <c r="D11" s="31" t="s">
        <v>685</v>
      </c>
      <c r="E11" s="53" t="s">
        <v>870</v>
      </c>
      <c r="F11" s="7" t="s">
        <v>771</v>
      </c>
      <c r="G11" s="7" t="s">
        <v>942</v>
      </c>
      <c r="H11" s="7" t="s">
        <v>686</v>
      </c>
      <c r="I11" s="7" t="s">
        <v>1022</v>
      </c>
      <c r="J11" s="7" t="s">
        <v>772</v>
      </c>
      <c r="K11" s="7" t="s">
        <v>767</v>
      </c>
      <c r="L11" s="7" t="s">
        <v>771</v>
      </c>
      <c r="M11" s="7" t="s">
        <v>685</v>
      </c>
      <c r="N11" s="53"/>
      <c r="O11" s="7" t="s">
        <v>761</v>
      </c>
    </row>
    <row r="12" spans="1:15" x14ac:dyDescent="0.25">
      <c r="A12" s="31" t="s">
        <v>684</v>
      </c>
      <c r="B12" s="31">
        <v>11</v>
      </c>
      <c r="C12" s="7" t="s">
        <v>686</v>
      </c>
      <c r="D12" s="31" t="s">
        <v>685</v>
      </c>
      <c r="E12" s="53" t="s">
        <v>871</v>
      </c>
      <c r="F12" s="7" t="s">
        <v>771</v>
      </c>
      <c r="G12" s="7" t="s">
        <v>942</v>
      </c>
      <c r="H12" s="7" t="s">
        <v>686</v>
      </c>
      <c r="I12" s="7" t="s">
        <v>1022</v>
      </c>
      <c r="J12" s="7" t="s">
        <v>772</v>
      </c>
      <c r="K12" s="7" t="s">
        <v>768</v>
      </c>
      <c r="L12" s="7" t="s">
        <v>771</v>
      </c>
      <c r="M12" s="7" t="s">
        <v>685</v>
      </c>
      <c r="N12" s="53"/>
      <c r="O12" s="7" t="s">
        <v>761</v>
      </c>
    </row>
    <row r="13" spans="1:15" x14ac:dyDescent="0.25">
      <c r="A13" s="31" t="s">
        <v>684</v>
      </c>
      <c r="B13" s="31">
        <v>12</v>
      </c>
      <c r="C13" s="7" t="s">
        <v>686</v>
      </c>
      <c r="D13" s="31" t="s">
        <v>685</v>
      </c>
      <c r="E13" s="53" t="s">
        <v>923</v>
      </c>
      <c r="F13" s="7" t="s">
        <v>771</v>
      </c>
      <c r="G13" s="7" t="s">
        <v>942</v>
      </c>
      <c r="H13" s="7" t="s">
        <v>686</v>
      </c>
      <c r="I13" s="7" t="s">
        <v>1022</v>
      </c>
      <c r="J13" s="7" t="s">
        <v>772</v>
      </c>
      <c r="K13" s="7" t="s">
        <v>765</v>
      </c>
      <c r="L13" s="7" t="s">
        <v>771</v>
      </c>
      <c r="M13" s="7" t="s">
        <v>685</v>
      </c>
      <c r="N13" s="53" t="s">
        <v>907</v>
      </c>
      <c r="O13" s="7" t="s">
        <v>761</v>
      </c>
    </row>
    <row r="14" spans="1:15" x14ac:dyDescent="0.25">
      <c r="A14" s="31" t="s">
        <v>684</v>
      </c>
      <c r="B14" s="31">
        <v>13</v>
      </c>
      <c r="C14" s="7" t="s">
        <v>686</v>
      </c>
      <c r="D14" s="31" t="s">
        <v>685</v>
      </c>
      <c r="E14" s="53" t="s">
        <v>924</v>
      </c>
      <c r="F14" s="7" t="s">
        <v>771</v>
      </c>
      <c r="G14" s="7" t="s">
        <v>942</v>
      </c>
      <c r="H14" s="7" t="s">
        <v>686</v>
      </c>
      <c r="I14" s="7" t="s">
        <v>1022</v>
      </c>
      <c r="J14" s="7" t="s">
        <v>772</v>
      </c>
      <c r="K14" s="7" t="s">
        <v>765</v>
      </c>
      <c r="L14" s="7" t="s">
        <v>771</v>
      </c>
      <c r="M14" s="7" t="s">
        <v>685</v>
      </c>
      <c r="N14" s="53" t="s">
        <v>907</v>
      </c>
      <c r="O14" s="7" t="s">
        <v>761</v>
      </c>
    </row>
    <row r="15" spans="1:15" x14ac:dyDescent="0.25">
      <c r="A15" s="31" t="s">
        <v>684</v>
      </c>
      <c r="B15" s="31">
        <v>14</v>
      </c>
      <c r="C15" s="7" t="s">
        <v>686</v>
      </c>
      <c r="D15" s="31" t="s">
        <v>685</v>
      </c>
      <c r="E15" s="53" t="s">
        <v>873</v>
      </c>
      <c r="F15" s="7" t="s">
        <v>771</v>
      </c>
      <c r="G15" s="7" t="s">
        <v>942</v>
      </c>
      <c r="H15" s="7" t="s">
        <v>686</v>
      </c>
      <c r="I15" s="7" t="s">
        <v>1022</v>
      </c>
      <c r="J15" s="7" t="s">
        <v>772</v>
      </c>
      <c r="K15" s="7" t="s">
        <v>769</v>
      </c>
      <c r="L15" s="7" t="s">
        <v>771</v>
      </c>
      <c r="M15" s="7" t="s">
        <v>685</v>
      </c>
      <c r="N15" s="53"/>
      <c r="O15" s="7" t="s">
        <v>761</v>
      </c>
    </row>
    <row r="16" spans="1:15" x14ac:dyDescent="0.25">
      <c r="A16" s="32" t="s">
        <v>684</v>
      </c>
      <c r="B16" s="32">
        <v>15</v>
      </c>
      <c r="C16" s="27" t="s">
        <v>686</v>
      </c>
      <c r="D16" s="32" t="s">
        <v>685</v>
      </c>
      <c r="E16" s="54" t="s">
        <v>874</v>
      </c>
      <c r="F16" s="27" t="s">
        <v>771</v>
      </c>
      <c r="G16" s="27" t="s">
        <v>944</v>
      </c>
      <c r="H16" s="27" t="s">
        <v>686</v>
      </c>
      <c r="I16" s="27" t="s">
        <v>1022</v>
      </c>
      <c r="J16" s="27" t="s">
        <v>772</v>
      </c>
      <c r="K16" s="27" t="s">
        <v>767</v>
      </c>
      <c r="L16" s="27" t="s">
        <v>771</v>
      </c>
      <c r="M16" s="27" t="s">
        <v>685</v>
      </c>
      <c r="N16" s="54"/>
      <c r="O16" s="27" t="s">
        <v>761</v>
      </c>
    </row>
    <row r="17" spans="1:15" x14ac:dyDescent="0.25">
      <c r="A17" s="32" t="s">
        <v>684</v>
      </c>
      <c r="B17" s="32">
        <v>16</v>
      </c>
      <c r="C17" s="27" t="s">
        <v>686</v>
      </c>
      <c r="D17" s="32" t="s">
        <v>685</v>
      </c>
      <c r="E17" s="54" t="s">
        <v>875</v>
      </c>
      <c r="F17" s="27" t="s">
        <v>771</v>
      </c>
      <c r="G17" s="27" t="s">
        <v>944</v>
      </c>
      <c r="H17" s="27" t="s">
        <v>686</v>
      </c>
      <c r="I17" s="27" t="s">
        <v>1022</v>
      </c>
      <c r="J17" s="27" t="s">
        <v>772</v>
      </c>
      <c r="K17" s="27" t="s">
        <v>768</v>
      </c>
      <c r="L17" s="27" t="s">
        <v>771</v>
      </c>
      <c r="M17" s="27" t="s">
        <v>685</v>
      </c>
      <c r="N17" s="54"/>
      <c r="O17" s="27" t="s">
        <v>761</v>
      </c>
    </row>
    <row r="18" spans="1:15" x14ac:dyDescent="0.25">
      <c r="A18" s="32" t="s">
        <v>684</v>
      </c>
      <c r="B18" s="32">
        <v>17</v>
      </c>
      <c r="C18" s="27" t="s">
        <v>686</v>
      </c>
      <c r="D18" s="32" t="s">
        <v>685</v>
      </c>
      <c r="E18" s="54" t="s">
        <v>925</v>
      </c>
      <c r="F18" s="27" t="s">
        <v>771</v>
      </c>
      <c r="G18" s="27" t="s">
        <v>944</v>
      </c>
      <c r="H18" s="27" t="s">
        <v>686</v>
      </c>
      <c r="I18" s="27" t="s">
        <v>1022</v>
      </c>
      <c r="J18" s="27" t="s">
        <v>772</v>
      </c>
      <c r="K18" s="27" t="s">
        <v>765</v>
      </c>
      <c r="L18" s="27" t="s">
        <v>771</v>
      </c>
      <c r="M18" s="27" t="s">
        <v>685</v>
      </c>
      <c r="N18" s="54" t="s">
        <v>907</v>
      </c>
      <c r="O18" s="27" t="s">
        <v>761</v>
      </c>
    </row>
    <row r="19" spans="1:15" x14ac:dyDescent="0.25">
      <c r="A19" s="32" t="s">
        <v>684</v>
      </c>
      <c r="B19" s="32">
        <v>18</v>
      </c>
      <c r="C19" s="27" t="s">
        <v>686</v>
      </c>
      <c r="D19" s="32" t="s">
        <v>685</v>
      </c>
      <c r="E19" s="54" t="s">
        <v>926</v>
      </c>
      <c r="F19" s="27" t="s">
        <v>771</v>
      </c>
      <c r="G19" s="27" t="s">
        <v>944</v>
      </c>
      <c r="H19" s="27" t="s">
        <v>686</v>
      </c>
      <c r="I19" s="27" t="s">
        <v>1022</v>
      </c>
      <c r="J19" s="27" t="s">
        <v>772</v>
      </c>
      <c r="K19" s="27" t="s">
        <v>765</v>
      </c>
      <c r="L19" s="27" t="s">
        <v>771</v>
      </c>
      <c r="M19" s="27" t="s">
        <v>685</v>
      </c>
      <c r="N19" s="54" t="s">
        <v>907</v>
      </c>
      <c r="O19" s="27" t="s">
        <v>761</v>
      </c>
    </row>
    <row r="20" spans="1:15" x14ac:dyDescent="0.25">
      <c r="A20" s="31" t="s">
        <v>684</v>
      </c>
      <c r="B20" s="31">
        <v>19</v>
      </c>
      <c r="C20" s="7" t="s">
        <v>686</v>
      </c>
      <c r="D20" s="31" t="s">
        <v>685</v>
      </c>
      <c r="E20" s="53" t="s">
        <v>877</v>
      </c>
      <c r="F20" s="7" t="s">
        <v>771</v>
      </c>
      <c r="G20" s="7" t="s">
        <v>945</v>
      </c>
      <c r="H20" s="7" t="s">
        <v>686</v>
      </c>
      <c r="I20" s="7" t="s">
        <v>1022</v>
      </c>
      <c r="J20" s="7" t="s">
        <v>772</v>
      </c>
      <c r="K20" s="7" t="s">
        <v>21</v>
      </c>
      <c r="L20" s="7" t="s">
        <v>771</v>
      </c>
      <c r="M20" s="7" t="s">
        <v>685</v>
      </c>
      <c r="N20" s="53"/>
      <c r="O20" s="7" t="s">
        <v>761</v>
      </c>
    </row>
    <row r="21" spans="1:15" x14ac:dyDescent="0.25">
      <c r="A21" s="31" t="s">
        <v>684</v>
      </c>
      <c r="B21" s="31">
        <v>20</v>
      </c>
      <c r="C21" s="7" t="s">
        <v>686</v>
      </c>
      <c r="D21" s="31" t="s">
        <v>685</v>
      </c>
      <c r="E21" s="53" t="s">
        <v>878</v>
      </c>
      <c r="F21" s="7" t="s">
        <v>771</v>
      </c>
      <c r="G21" s="7" t="s">
        <v>945</v>
      </c>
      <c r="H21" s="7" t="s">
        <v>686</v>
      </c>
      <c r="I21" s="7" t="s">
        <v>1022</v>
      </c>
      <c r="J21" s="7" t="s">
        <v>772</v>
      </c>
      <c r="K21" s="7" t="s">
        <v>21</v>
      </c>
      <c r="L21" s="7" t="s">
        <v>771</v>
      </c>
      <c r="M21" s="7" t="s">
        <v>685</v>
      </c>
      <c r="N21" s="53"/>
      <c r="O21" s="7" t="s">
        <v>761</v>
      </c>
    </row>
    <row r="22" spans="1:15" x14ac:dyDescent="0.25">
      <c r="A22" s="31" t="s">
        <v>684</v>
      </c>
      <c r="B22" s="31">
        <v>21</v>
      </c>
      <c r="C22" s="7" t="s">
        <v>686</v>
      </c>
      <c r="D22" s="31" t="s">
        <v>685</v>
      </c>
      <c r="E22" s="53" t="s">
        <v>879</v>
      </c>
      <c r="F22" s="7" t="s">
        <v>771</v>
      </c>
      <c r="G22" s="7" t="s">
        <v>945</v>
      </c>
      <c r="H22" s="7" t="s">
        <v>686</v>
      </c>
      <c r="I22" s="7" t="s">
        <v>1022</v>
      </c>
      <c r="J22" s="7" t="s">
        <v>772</v>
      </c>
      <c r="K22" s="7" t="s">
        <v>21</v>
      </c>
      <c r="L22" s="7" t="s">
        <v>771</v>
      </c>
      <c r="M22" s="7" t="s">
        <v>685</v>
      </c>
      <c r="N22" s="53"/>
      <c r="O22" s="7" t="s">
        <v>761</v>
      </c>
    </row>
    <row r="23" spans="1:15" x14ac:dyDescent="0.25">
      <c r="A23" s="31" t="s">
        <v>684</v>
      </c>
      <c r="B23" s="31">
        <v>22</v>
      </c>
      <c r="C23" s="7" t="s">
        <v>686</v>
      </c>
      <c r="D23" s="31" t="s">
        <v>685</v>
      </c>
      <c r="E23" s="53" t="s">
        <v>880</v>
      </c>
      <c r="F23" s="7" t="s">
        <v>771</v>
      </c>
      <c r="G23" s="7" t="s">
        <v>945</v>
      </c>
      <c r="H23" s="7" t="s">
        <v>686</v>
      </c>
      <c r="I23" s="7" t="s">
        <v>1022</v>
      </c>
      <c r="J23" s="7" t="s">
        <v>772</v>
      </c>
      <c r="K23" s="7" t="s">
        <v>21</v>
      </c>
      <c r="L23" s="7" t="s">
        <v>771</v>
      </c>
      <c r="M23" s="7" t="s">
        <v>685</v>
      </c>
      <c r="N23" s="53"/>
      <c r="O23" s="7" t="s">
        <v>761</v>
      </c>
    </row>
    <row r="24" spans="1:15" x14ac:dyDescent="0.25">
      <c r="A24" s="31" t="s">
        <v>684</v>
      </c>
      <c r="B24" s="31">
        <v>23</v>
      </c>
      <c r="C24" s="7" t="s">
        <v>686</v>
      </c>
      <c r="D24" s="31" t="s">
        <v>685</v>
      </c>
      <c r="E24" s="53" t="s">
        <v>881</v>
      </c>
      <c r="F24" s="7" t="s">
        <v>771</v>
      </c>
      <c r="G24" s="7" t="s">
        <v>945</v>
      </c>
      <c r="H24" s="7" t="s">
        <v>686</v>
      </c>
      <c r="I24" s="7" t="s">
        <v>1022</v>
      </c>
      <c r="J24" s="7" t="s">
        <v>772</v>
      </c>
      <c r="K24" s="7" t="s">
        <v>21</v>
      </c>
      <c r="L24" s="7" t="s">
        <v>771</v>
      </c>
      <c r="M24" s="7" t="s">
        <v>685</v>
      </c>
      <c r="N24" s="53"/>
      <c r="O24" s="7" t="s">
        <v>761</v>
      </c>
    </row>
    <row r="25" spans="1:15" x14ac:dyDescent="0.25">
      <c r="A25" s="31" t="s">
        <v>684</v>
      </c>
      <c r="B25" s="31">
        <v>24</v>
      </c>
      <c r="C25" s="7" t="s">
        <v>686</v>
      </c>
      <c r="D25" s="31" t="s">
        <v>685</v>
      </c>
      <c r="E25" s="53" t="s">
        <v>882</v>
      </c>
      <c r="F25" s="7" t="s">
        <v>771</v>
      </c>
      <c r="G25" s="7" t="s">
        <v>945</v>
      </c>
      <c r="H25" s="7" t="s">
        <v>686</v>
      </c>
      <c r="I25" s="7" t="s">
        <v>1022</v>
      </c>
      <c r="J25" s="7" t="s">
        <v>772</v>
      </c>
      <c r="K25" s="7" t="s">
        <v>21</v>
      </c>
      <c r="L25" s="7" t="s">
        <v>771</v>
      </c>
      <c r="M25" s="7" t="s">
        <v>685</v>
      </c>
      <c r="N25" s="53"/>
      <c r="O25" s="7" t="s">
        <v>761</v>
      </c>
    </row>
    <row r="26" spans="1:15" x14ac:dyDescent="0.25">
      <c r="A26" s="32" t="s">
        <v>684</v>
      </c>
      <c r="B26" s="32">
        <v>25</v>
      </c>
      <c r="C26" s="27" t="s">
        <v>686</v>
      </c>
      <c r="D26" s="32" t="s">
        <v>685</v>
      </c>
      <c r="E26" s="54" t="s">
        <v>883</v>
      </c>
      <c r="F26" s="27" t="s">
        <v>771</v>
      </c>
      <c r="G26" s="27" t="s">
        <v>946</v>
      </c>
      <c r="H26" s="27" t="s">
        <v>686</v>
      </c>
      <c r="I26" s="27" t="s">
        <v>1022</v>
      </c>
      <c r="J26" s="27" t="s">
        <v>772</v>
      </c>
      <c r="K26" s="27" t="s">
        <v>1037</v>
      </c>
      <c r="L26" s="27" t="s">
        <v>771</v>
      </c>
      <c r="M26" s="27" t="s">
        <v>685</v>
      </c>
      <c r="N26" s="54"/>
      <c r="O26" s="27" t="s">
        <v>761</v>
      </c>
    </row>
    <row r="27" spans="1:15" x14ac:dyDescent="0.25">
      <c r="A27" s="32" t="s">
        <v>684</v>
      </c>
      <c r="B27" s="32">
        <v>26</v>
      </c>
      <c r="C27" s="27" t="s">
        <v>686</v>
      </c>
      <c r="D27" s="32" t="s">
        <v>685</v>
      </c>
      <c r="E27" s="54" t="s">
        <v>884</v>
      </c>
      <c r="F27" s="27" t="s">
        <v>771</v>
      </c>
      <c r="G27" s="27" t="s">
        <v>946</v>
      </c>
      <c r="H27" s="27" t="s">
        <v>686</v>
      </c>
      <c r="I27" s="27" t="s">
        <v>1022</v>
      </c>
      <c r="J27" s="27" t="s">
        <v>772</v>
      </c>
      <c r="K27" s="27" t="s">
        <v>1037</v>
      </c>
      <c r="L27" s="27" t="s">
        <v>771</v>
      </c>
      <c r="M27" s="27" t="s">
        <v>685</v>
      </c>
      <c r="N27" s="54"/>
      <c r="O27" s="27" t="s">
        <v>761</v>
      </c>
    </row>
    <row r="28" spans="1:15" x14ac:dyDescent="0.25">
      <c r="A28" s="32" t="s">
        <v>684</v>
      </c>
      <c r="B28" s="32">
        <v>27</v>
      </c>
      <c r="C28" s="27" t="s">
        <v>686</v>
      </c>
      <c r="D28" s="32" t="s">
        <v>685</v>
      </c>
      <c r="E28" s="54" t="s">
        <v>885</v>
      </c>
      <c r="F28" s="27" t="s">
        <v>771</v>
      </c>
      <c r="G28" s="27" t="s">
        <v>946</v>
      </c>
      <c r="H28" s="27" t="s">
        <v>686</v>
      </c>
      <c r="I28" s="27" t="s">
        <v>1022</v>
      </c>
      <c r="J28" s="27" t="s">
        <v>772</v>
      </c>
      <c r="K28" s="27" t="s">
        <v>1037</v>
      </c>
      <c r="L28" s="27" t="s">
        <v>771</v>
      </c>
      <c r="M28" s="27" t="s">
        <v>685</v>
      </c>
      <c r="N28" s="54"/>
      <c r="O28" s="27" t="s">
        <v>761</v>
      </c>
    </row>
    <row r="29" spans="1:15" x14ac:dyDescent="0.25">
      <c r="A29" s="31" t="s">
        <v>684</v>
      </c>
      <c r="B29" s="31">
        <v>28</v>
      </c>
      <c r="C29" s="7" t="s">
        <v>686</v>
      </c>
      <c r="D29" s="31" t="s">
        <v>685</v>
      </c>
      <c r="E29" s="53" t="s">
        <v>886</v>
      </c>
      <c r="F29" s="7" t="s">
        <v>771</v>
      </c>
      <c r="G29" s="7" t="s">
        <v>947</v>
      </c>
      <c r="H29" s="7" t="s">
        <v>686</v>
      </c>
      <c r="I29" s="7" t="s">
        <v>1022</v>
      </c>
      <c r="J29" s="7" t="s">
        <v>772</v>
      </c>
      <c r="K29" s="7" t="s">
        <v>1037</v>
      </c>
      <c r="L29" s="7" t="s">
        <v>771</v>
      </c>
      <c r="M29" s="7" t="s">
        <v>685</v>
      </c>
      <c r="N29" s="53"/>
      <c r="O29" s="7" t="s">
        <v>761</v>
      </c>
    </row>
    <row r="30" spans="1:15" x14ac:dyDescent="0.25">
      <c r="A30" s="31" t="s">
        <v>684</v>
      </c>
      <c r="B30" s="31">
        <v>29</v>
      </c>
      <c r="C30" s="7" t="s">
        <v>686</v>
      </c>
      <c r="D30" s="31" t="s">
        <v>685</v>
      </c>
      <c r="E30" s="53" t="s">
        <v>887</v>
      </c>
      <c r="F30" s="7" t="s">
        <v>771</v>
      </c>
      <c r="G30" s="7" t="s">
        <v>947</v>
      </c>
      <c r="H30" s="7" t="s">
        <v>686</v>
      </c>
      <c r="I30" s="7" t="s">
        <v>1022</v>
      </c>
      <c r="J30" s="7" t="s">
        <v>772</v>
      </c>
      <c r="K30" s="7" t="s">
        <v>1037</v>
      </c>
      <c r="L30" s="7" t="s">
        <v>771</v>
      </c>
      <c r="M30" s="7" t="s">
        <v>685</v>
      </c>
      <c r="N30" s="53"/>
      <c r="O30" s="7" t="s">
        <v>761</v>
      </c>
    </row>
    <row r="31" spans="1:15" x14ac:dyDescent="0.25">
      <c r="A31" s="32" t="s">
        <v>684</v>
      </c>
      <c r="B31" s="32">
        <v>30</v>
      </c>
      <c r="C31" s="27" t="s">
        <v>686</v>
      </c>
      <c r="D31" s="32" t="s">
        <v>685</v>
      </c>
      <c r="E31" s="54" t="s">
        <v>888</v>
      </c>
      <c r="F31" s="27" t="s">
        <v>771</v>
      </c>
      <c r="G31" s="27" t="s">
        <v>948</v>
      </c>
      <c r="H31" s="27" t="s">
        <v>686</v>
      </c>
      <c r="I31" s="27" t="s">
        <v>1022</v>
      </c>
      <c r="J31" s="27" t="s">
        <v>772</v>
      </c>
      <c r="K31" s="27" t="s">
        <v>777</v>
      </c>
      <c r="L31" s="27" t="s">
        <v>771</v>
      </c>
      <c r="M31" s="27" t="s">
        <v>685</v>
      </c>
      <c r="N31" s="54"/>
      <c r="O31" s="27" t="s">
        <v>761</v>
      </c>
    </row>
    <row r="32" spans="1:15" x14ac:dyDescent="0.25">
      <c r="A32" s="31" t="s">
        <v>684</v>
      </c>
      <c r="B32" s="31">
        <v>31</v>
      </c>
      <c r="C32" s="7" t="s">
        <v>686</v>
      </c>
      <c r="D32" s="31" t="s">
        <v>685</v>
      </c>
      <c r="E32" s="53" t="s">
        <v>889</v>
      </c>
      <c r="F32" s="7" t="s">
        <v>771</v>
      </c>
      <c r="G32" s="7" t="s">
        <v>950</v>
      </c>
      <c r="H32" s="7" t="s">
        <v>686</v>
      </c>
      <c r="I32" s="7" t="s">
        <v>1022</v>
      </c>
      <c r="J32" s="7" t="s">
        <v>772</v>
      </c>
      <c r="K32" s="7" t="s">
        <v>763</v>
      </c>
      <c r="L32" s="7" t="s">
        <v>771</v>
      </c>
      <c r="M32" s="7" t="s">
        <v>685</v>
      </c>
      <c r="N32" s="53"/>
      <c r="O32" s="7" t="s">
        <v>761</v>
      </c>
    </row>
    <row r="33" spans="1:15" x14ac:dyDescent="0.25">
      <c r="A33" s="31" t="s">
        <v>684</v>
      </c>
      <c r="B33" s="31">
        <v>32</v>
      </c>
      <c r="C33" s="7" t="s">
        <v>686</v>
      </c>
      <c r="D33" s="31" t="s">
        <v>685</v>
      </c>
      <c r="E33" s="53" t="s">
        <v>890</v>
      </c>
      <c r="F33" s="7" t="s">
        <v>771</v>
      </c>
      <c r="G33" s="7" t="s">
        <v>950</v>
      </c>
      <c r="H33" s="7" t="s">
        <v>686</v>
      </c>
      <c r="I33" s="7" t="s">
        <v>1022</v>
      </c>
      <c r="J33" s="7" t="s">
        <v>772</v>
      </c>
      <c r="K33" s="7" t="s">
        <v>764</v>
      </c>
      <c r="L33" s="7" t="s">
        <v>771</v>
      </c>
      <c r="M33" s="7" t="s">
        <v>685</v>
      </c>
      <c r="N33" s="53"/>
      <c r="O33" s="7" t="s">
        <v>761</v>
      </c>
    </row>
    <row r="34" spans="1:15" x14ac:dyDescent="0.25">
      <c r="A34" s="31" t="s">
        <v>684</v>
      </c>
      <c r="B34" s="31">
        <v>33</v>
      </c>
      <c r="C34" s="7" t="s">
        <v>686</v>
      </c>
      <c r="D34" s="31" t="s">
        <v>685</v>
      </c>
      <c r="E34" s="53" t="s">
        <v>1023</v>
      </c>
      <c r="F34" s="7" t="s">
        <v>771</v>
      </c>
      <c r="G34" s="7" t="s">
        <v>950</v>
      </c>
      <c r="H34" s="7" t="s">
        <v>686</v>
      </c>
      <c r="I34" s="7" t="s">
        <v>1022</v>
      </c>
      <c r="J34" s="7" t="s">
        <v>772</v>
      </c>
      <c r="K34" s="7" t="s">
        <v>764</v>
      </c>
      <c r="L34" s="7" t="s">
        <v>771</v>
      </c>
      <c r="M34" s="7" t="s">
        <v>685</v>
      </c>
      <c r="N34" s="53"/>
      <c r="O34" s="7" t="s">
        <v>761</v>
      </c>
    </row>
    <row r="35" spans="1:15" x14ac:dyDescent="0.25">
      <c r="A35" s="32" t="s">
        <v>684</v>
      </c>
      <c r="B35" s="32">
        <v>34</v>
      </c>
      <c r="C35" s="27" t="s">
        <v>686</v>
      </c>
      <c r="D35" s="32" t="s">
        <v>685</v>
      </c>
      <c r="E35" s="54" t="s">
        <v>892</v>
      </c>
      <c r="F35" s="27" t="s">
        <v>771</v>
      </c>
      <c r="G35" s="27" t="s">
        <v>954</v>
      </c>
      <c r="H35" s="27" t="s">
        <v>686</v>
      </c>
      <c r="I35" s="27" t="s">
        <v>1022</v>
      </c>
      <c r="J35" s="27" t="s">
        <v>772</v>
      </c>
      <c r="K35" s="27" t="s">
        <v>777</v>
      </c>
      <c r="L35" s="27" t="s">
        <v>771</v>
      </c>
      <c r="M35" s="27" t="s">
        <v>685</v>
      </c>
      <c r="N35" s="54" t="s">
        <v>1035</v>
      </c>
      <c r="O35" s="27" t="s">
        <v>761</v>
      </c>
    </row>
    <row r="36" spans="1:15" x14ac:dyDescent="0.25">
      <c r="A36" s="31" t="s">
        <v>684</v>
      </c>
      <c r="B36" s="31">
        <v>35</v>
      </c>
      <c r="C36" s="7" t="s">
        <v>686</v>
      </c>
      <c r="D36" s="31" t="s">
        <v>685</v>
      </c>
      <c r="E36" s="53" t="s">
        <v>961</v>
      </c>
      <c r="F36" s="7" t="s">
        <v>771</v>
      </c>
      <c r="G36" s="7" t="s">
        <v>955</v>
      </c>
      <c r="H36" s="7" t="s">
        <v>686</v>
      </c>
      <c r="I36" s="7" t="s">
        <v>1022</v>
      </c>
      <c r="J36" s="7" t="s">
        <v>772</v>
      </c>
      <c r="K36" s="7" t="s">
        <v>777</v>
      </c>
      <c r="L36" s="7" t="s">
        <v>771</v>
      </c>
      <c r="M36" s="7" t="s">
        <v>685</v>
      </c>
      <c r="N36" s="53" t="s">
        <v>1034</v>
      </c>
      <c r="O36" s="7" t="s">
        <v>761</v>
      </c>
    </row>
    <row r="37" spans="1:15" x14ac:dyDescent="0.25">
      <c r="A37" s="31" t="s">
        <v>684</v>
      </c>
      <c r="B37" s="31">
        <v>36</v>
      </c>
      <c r="C37" s="7" t="s">
        <v>686</v>
      </c>
      <c r="D37" s="31" t="s">
        <v>685</v>
      </c>
      <c r="E37" s="53" t="s">
        <v>960</v>
      </c>
      <c r="F37" s="7" t="s">
        <v>771</v>
      </c>
      <c r="G37" s="7" t="s">
        <v>955</v>
      </c>
      <c r="H37" s="7" t="s">
        <v>686</v>
      </c>
      <c r="I37" s="7" t="s">
        <v>1022</v>
      </c>
      <c r="J37" s="7" t="s">
        <v>772</v>
      </c>
      <c r="K37" s="7" t="s">
        <v>777</v>
      </c>
      <c r="L37" s="7" t="s">
        <v>771</v>
      </c>
      <c r="M37" s="7" t="s">
        <v>685</v>
      </c>
      <c r="N37" s="53" t="s">
        <v>1034</v>
      </c>
      <c r="O37" s="7" t="s">
        <v>761</v>
      </c>
    </row>
    <row r="38" spans="1:15" x14ac:dyDescent="0.25">
      <c r="A38" s="32" t="s">
        <v>684</v>
      </c>
      <c r="B38" s="32">
        <v>37</v>
      </c>
      <c r="C38" s="27" t="s">
        <v>686</v>
      </c>
      <c r="D38" s="32" t="s">
        <v>685</v>
      </c>
      <c r="E38" s="54" t="s">
        <v>894</v>
      </c>
      <c r="F38" s="27" t="s">
        <v>771</v>
      </c>
      <c r="G38" s="27" t="s">
        <v>949</v>
      </c>
      <c r="H38" s="27" t="s">
        <v>686</v>
      </c>
      <c r="I38" s="27" t="s">
        <v>1022</v>
      </c>
      <c r="J38" s="27" t="s">
        <v>772</v>
      </c>
      <c r="K38" s="27" t="s">
        <v>777</v>
      </c>
      <c r="L38" s="27" t="s">
        <v>771</v>
      </c>
      <c r="M38" s="27" t="s">
        <v>685</v>
      </c>
      <c r="N38" s="54" t="s">
        <v>1027</v>
      </c>
      <c r="O38" s="27" t="s">
        <v>761</v>
      </c>
    </row>
    <row r="39" spans="1:15" x14ac:dyDescent="0.25">
      <c r="A39" s="31" t="s">
        <v>684</v>
      </c>
      <c r="B39" s="31">
        <v>38</v>
      </c>
      <c r="C39" s="7" t="s">
        <v>686</v>
      </c>
      <c r="D39" s="31" t="s">
        <v>685</v>
      </c>
      <c r="E39" s="53" t="s">
        <v>895</v>
      </c>
      <c r="F39" s="7" t="s">
        <v>771</v>
      </c>
      <c r="G39" s="7" t="s">
        <v>956</v>
      </c>
      <c r="H39" s="7" t="s">
        <v>686</v>
      </c>
      <c r="I39" s="7" t="s">
        <v>1022</v>
      </c>
      <c r="J39" s="7" t="s">
        <v>772</v>
      </c>
      <c r="K39" s="7" t="s">
        <v>777</v>
      </c>
      <c r="L39" s="7" t="s">
        <v>771</v>
      </c>
      <c r="M39" s="7" t="s">
        <v>685</v>
      </c>
      <c r="N39" s="53" t="s">
        <v>1028</v>
      </c>
      <c r="O39" s="7" t="s">
        <v>761</v>
      </c>
    </row>
    <row r="40" spans="1:15" x14ac:dyDescent="0.25">
      <c r="A40" s="32" t="s">
        <v>684</v>
      </c>
      <c r="B40" s="32">
        <v>39</v>
      </c>
      <c r="C40" s="27" t="s">
        <v>686</v>
      </c>
      <c r="D40" s="32" t="s">
        <v>685</v>
      </c>
      <c r="E40" s="54" t="s">
        <v>896</v>
      </c>
      <c r="F40" s="27" t="s">
        <v>771</v>
      </c>
      <c r="G40" s="27" t="s">
        <v>958</v>
      </c>
      <c r="H40" s="27" t="s">
        <v>686</v>
      </c>
      <c r="I40" s="27" t="s">
        <v>1022</v>
      </c>
      <c r="J40" s="27" t="s">
        <v>772</v>
      </c>
      <c r="K40" s="27" t="s">
        <v>777</v>
      </c>
      <c r="L40" s="27" t="s">
        <v>771</v>
      </c>
      <c r="M40" s="27" t="s">
        <v>685</v>
      </c>
      <c r="N40" s="54" t="s">
        <v>1029</v>
      </c>
      <c r="O40" s="27" t="s">
        <v>761</v>
      </c>
    </row>
    <row r="41" spans="1:15" x14ac:dyDescent="0.25">
      <c r="A41" s="31" t="s">
        <v>684</v>
      </c>
      <c r="B41" s="31">
        <v>40</v>
      </c>
      <c r="C41" s="7" t="s">
        <v>686</v>
      </c>
      <c r="D41" s="31" t="s">
        <v>685</v>
      </c>
      <c r="E41" s="53" t="s">
        <v>897</v>
      </c>
      <c r="F41" s="7" t="s">
        <v>771</v>
      </c>
      <c r="G41" s="7" t="s">
        <v>951</v>
      </c>
      <c r="H41" s="7" t="s">
        <v>686</v>
      </c>
      <c r="I41" s="7" t="s">
        <v>1022</v>
      </c>
      <c r="J41" s="7" t="s">
        <v>772</v>
      </c>
      <c r="K41" s="7" t="s">
        <v>777</v>
      </c>
      <c r="L41" s="7" t="s">
        <v>771</v>
      </c>
      <c r="M41" s="7" t="s">
        <v>685</v>
      </c>
      <c r="N41" s="53" t="s">
        <v>1033</v>
      </c>
      <c r="O41" s="7" t="s">
        <v>761</v>
      </c>
    </row>
    <row r="42" spans="1:15" x14ac:dyDescent="0.25">
      <c r="A42" s="32" t="s">
        <v>684</v>
      </c>
      <c r="B42" s="32">
        <v>41</v>
      </c>
      <c r="C42" s="27" t="s">
        <v>686</v>
      </c>
      <c r="D42" s="32" t="s">
        <v>685</v>
      </c>
      <c r="E42" s="54" t="s">
        <v>888</v>
      </c>
      <c r="F42" s="27" t="s">
        <v>771</v>
      </c>
      <c r="G42" s="27" t="s">
        <v>957</v>
      </c>
      <c r="H42" s="27" t="s">
        <v>686</v>
      </c>
      <c r="I42" s="27" t="s">
        <v>1022</v>
      </c>
      <c r="J42" s="27" t="s">
        <v>772</v>
      </c>
      <c r="K42" s="27" t="s">
        <v>777</v>
      </c>
      <c r="L42" s="27" t="s">
        <v>771</v>
      </c>
      <c r="M42" s="27" t="s">
        <v>685</v>
      </c>
      <c r="N42" s="54" t="s">
        <v>1030</v>
      </c>
      <c r="O42" s="27" t="s">
        <v>761</v>
      </c>
    </row>
    <row r="43" spans="1:15" x14ac:dyDescent="0.25">
      <c r="A43" s="32" t="s">
        <v>684</v>
      </c>
      <c r="B43" s="32">
        <v>42</v>
      </c>
      <c r="C43" s="27" t="s">
        <v>686</v>
      </c>
      <c r="D43" s="32" t="s">
        <v>685</v>
      </c>
      <c r="E43" s="54" t="s">
        <v>898</v>
      </c>
      <c r="F43" s="27" t="s">
        <v>771</v>
      </c>
      <c r="G43" s="27" t="s">
        <v>957</v>
      </c>
      <c r="H43" s="27" t="s">
        <v>686</v>
      </c>
      <c r="I43" s="27" t="s">
        <v>1022</v>
      </c>
      <c r="J43" s="27" t="s">
        <v>772</v>
      </c>
      <c r="K43" s="27" t="s">
        <v>777</v>
      </c>
      <c r="L43" s="27" t="s">
        <v>771</v>
      </c>
      <c r="M43" s="27" t="s">
        <v>685</v>
      </c>
      <c r="N43" s="54" t="s">
        <v>1031</v>
      </c>
      <c r="O43" s="27" t="s">
        <v>761</v>
      </c>
    </row>
    <row r="44" spans="1:15" x14ac:dyDescent="0.25">
      <c r="A44" s="31" t="s">
        <v>684</v>
      </c>
      <c r="B44" s="31">
        <v>43</v>
      </c>
      <c r="C44" s="7" t="s">
        <v>686</v>
      </c>
      <c r="D44" s="31" t="s">
        <v>685</v>
      </c>
      <c r="E44" s="53" t="s">
        <v>899</v>
      </c>
      <c r="F44" s="7" t="s">
        <v>771</v>
      </c>
      <c r="G44" s="7" t="s">
        <v>953</v>
      </c>
      <c r="H44" s="7" t="s">
        <v>686</v>
      </c>
      <c r="I44" s="7" t="s">
        <v>1022</v>
      </c>
      <c r="J44" s="7" t="s">
        <v>772</v>
      </c>
      <c r="K44" s="7" t="s">
        <v>765</v>
      </c>
      <c r="L44" s="7" t="s">
        <v>771</v>
      </c>
      <c r="M44" s="7" t="s">
        <v>685</v>
      </c>
      <c r="N44" s="53" t="s">
        <v>1024</v>
      </c>
      <c r="O44" s="7" t="s">
        <v>761</v>
      </c>
    </row>
    <row r="45" spans="1:15" x14ac:dyDescent="0.25">
      <c r="A45" s="31" t="s">
        <v>684</v>
      </c>
      <c r="B45" s="31">
        <v>44</v>
      </c>
      <c r="C45" s="7" t="s">
        <v>686</v>
      </c>
      <c r="D45" s="31" t="s">
        <v>685</v>
      </c>
      <c r="E45" s="53" t="s">
        <v>900</v>
      </c>
      <c r="F45" s="7" t="s">
        <v>771</v>
      </c>
      <c r="G45" s="7" t="s">
        <v>953</v>
      </c>
      <c r="H45" s="7" t="s">
        <v>686</v>
      </c>
      <c r="I45" s="7" t="s">
        <v>1022</v>
      </c>
      <c r="J45" s="7" t="s">
        <v>772</v>
      </c>
      <c r="K45" s="7" t="s">
        <v>765</v>
      </c>
      <c r="L45" s="7" t="s">
        <v>771</v>
      </c>
      <c r="M45" s="7" t="s">
        <v>685</v>
      </c>
      <c r="N45" s="53" t="s">
        <v>1024</v>
      </c>
      <c r="O45" s="7" t="s">
        <v>761</v>
      </c>
    </row>
    <row r="46" spans="1:15" x14ac:dyDescent="0.25">
      <c r="A46" s="32" t="s">
        <v>684</v>
      </c>
      <c r="B46" s="32">
        <v>45</v>
      </c>
      <c r="C46" s="27" t="s">
        <v>686</v>
      </c>
      <c r="D46" s="32" t="s">
        <v>685</v>
      </c>
      <c r="E46" s="54" t="s">
        <v>901</v>
      </c>
      <c r="F46" s="27" t="s">
        <v>771</v>
      </c>
      <c r="G46" s="27" t="s">
        <v>952</v>
      </c>
      <c r="H46" s="27" t="s">
        <v>686</v>
      </c>
      <c r="I46" s="27" t="s">
        <v>1022</v>
      </c>
      <c r="J46" s="27" t="s">
        <v>772</v>
      </c>
      <c r="K46" s="27" t="s">
        <v>777</v>
      </c>
      <c r="L46" s="27" t="s">
        <v>771</v>
      </c>
      <c r="M46" s="27" t="s">
        <v>685</v>
      </c>
      <c r="N46" s="54" t="s">
        <v>1032</v>
      </c>
      <c r="O46" s="27" t="s">
        <v>761</v>
      </c>
    </row>
    <row r="47" spans="1:15" x14ac:dyDescent="0.25">
      <c r="A47" s="31" t="s">
        <v>684</v>
      </c>
      <c r="B47" s="31">
        <v>46</v>
      </c>
      <c r="C47" s="7" t="s">
        <v>686</v>
      </c>
      <c r="D47" s="31" t="s">
        <v>685</v>
      </c>
      <c r="E47" s="53" t="s">
        <v>902</v>
      </c>
      <c r="F47" s="7" t="s">
        <v>771</v>
      </c>
      <c r="G47" s="7" t="s">
        <v>959</v>
      </c>
      <c r="H47" s="7" t="s">
        <v>686</v>
      </c>
      <c r="I47" s="7" t="s">
        <v>1022</v>
      </c>
      <c r="J47" s="7" t="s">
        <v>772</v>
      </c>
      <c r="K47" s="7" t="s">
        <v>766</v>
      </c>
      <c r="L47" s="7" t="s">
        <v>771</v>
      </c>
      <c r="M47" s="7" t="s">
        <v>685</v>
      </c>
      <c r="N47" s="53" t="s">
        <v>1026</v>
      </c>
      <c r="O47" s="7" t="s">
        <v>761</v>
      </c>
    </row>
    <row r="48" spans="1:15" x14ac:dyDescent="0.25">
      <c r="A48" s="31" t="s">
        <v>684</v>
      </c>
      <c r="B48" s="31">
        <v>47</v>
      </c>
      <c r="C48" s="7" t="s">
        <v>686</v>
      </c>
      <c r="D48" s="31" t="s">
        <v>685</v>
      </c>
      <c r="E48" s="53" t="s">
        <v>903</v>
      </c>
      <c r="F48" s="7" t="s">
        <v>771</v>
      </c>
      <c r="G48" s="7" t="s">
        <v>959</v>
      </c>
      <c r="H48" s="7" t="s">
        <v>686</v>
      </c>
      <c r="I48" s="7" t="s">
        <v>1022</v>
      </c>
      <c r="J48" s="7" t="s">
        <v>772</v>
      </c>
      <c r="K48" s="7" t="s">
        <v>766</v>
      </c>
      <c r="L48" s="7" t="s">
        <v>771</v>
      </c>
      <c r="M48" s="7" t="s">
        <v>685</v>
      </c>
      <c r="N48" s="53" t="s">
        <v>1025</v>
      </c>
      <c r="O48" s="7" t="s">
        <v>761</v>
      </c>
    </row>
    <row r="49" spans="1:15" x14ac:dyDescent="0.25">
      <c r="A49" s="31" t="s">
        <v>684</v>
      </c>
      <c r="B49" s="31">
        <v>48</v>
      </c>
      <c r="C49" s="7" t="s">
        <v>686</v>
      </c>
      <c r="D49" s="31" t="s">
        <v>685</v>
      </c>
      <c r="E49" s="53" t="s">
        <v>904</v>
      </c>
      <c r="F49" s="7" t="s">
        <v>771</v>
      </c>
      <c r="G49" s="7" t="s">
        <v>959</v>
      </c>
      <c r="H49" s="7" t="s">
        <v>686</v>
      </c>
      <c r="I49" s="7" t="s">
        <v>1022</v>
      </c>
      <c r="J49" s="7" t="s">
        <v>772</v>
      </c>
      <c r="K49" s="7" t="s">
        <v>765</v>
      </c>
      <c r="L49" s="7" t="s">
        <v>771</v>
      </c>
      <c r="M49" s="7" t="s">
        <v>685</v>
      </c>
      <c r="N49" s="53" t="s">
        <v>1024</v>
      </c>
      <c r="O49" s="7" t="s">
        <v>761</v>
      </c>
    </row>
    <row r="50" spans="1:15" x14ac:dyDescent="0.25">
      <c r="A50" s="31" t="s">
        <v>684</v>
      </c>
      <c r="B50" s="31">
        <v>49</v>
      </c>
      <c r="C50" s="7" t="s">
        <v>686</v>
      </c>
      <c r="D50" s="31" t="s">
        <v>685</v>
      </c>
      <c r="E50" s="53" t="s">
        <v>905</v>
      </c>
      <c r="F50" s="7" t="s">
        <v>771</v>
      </c>
      <c r="G50" s="7" t="s">
        <v>959</v>
      </c>
      <c r="H50" s="7" t="s">
        <v>686</v>
      </c>
      <c r="I50" s="7" t="s">
        <v>1022</v>
      </c>
      <c r="J50" s="7" t="s">
        <v>772</v>
      </c>
      <c r="K50" s="7" t="s">
        <v>765</v>
      </c>
      <c r="L50" s="7" t="s">
        <v>771</v>
      </c>
      <c r="M50" s="7" t="s">
        <v>685</v>
      </c>
      <c r="N50" s="53" t="s">
        <v>1024</v>
      </c>
      <c r="O50" s="7" t="s">
        <v>760</v>
      </c>
    </row>
    <row r="51" spans="1:15" x14ac:dyDescent="0.25">
      <c r="F51" s="1"/>
    </row>
    <row r="52" spans="1:15" x14ac:dyDescent="0.25">
      <c r="F52" s="1"/>
    </row>
    <row r="53" spans="1:15" x14ac:dyDescent="0.25">
      <c r="F53" s="1"/>
    </row>
    <row r="54" spans="1:15" x14ac:dyDescent="0.25">
      <c r="F54" s="1"/>
    </row>
    <row r="55" spans="1:15" x14ac:dyDescent="0.25">
      <c r="F5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BAAF-D2DB-4198-925C-D24412157E60}">
  <dimension ref="A1:H54"/>
  <sheetViews>
    <sheetView tabSelected="1" topLeftCell="A18" zoomScale="115" zoomScaleNormal="115" workbookViewId="0">
      <selection sqref="A1:H49"/>
    </sheetView>
  </sheetViews>
  <sheetFormatPr defaultRowHeight="15" x14ac:dyDescent="0.25"/>
  <cols>
    <col min="1" max="1" width="31.85546875" bestFit="1" customWidth="1"/>
    <col min="4" max="6" width="9.140625" style="1"/>
    <col min="7" max="7" width="10.5703125" style="1" customWidth="1"/>
    <col min="8" max="8" width="61.140625" customWidth="1"/>
  </cols>
  <sheetData>
    <row r="1" spans="1:8" x14ac:dyDescent="0.25">
      <c r="A1" s="31" t="s">
        <v>230</v>
      </c>
      <c r="B1" s="7" t="s">
        <v>121</v>
      </c>
      <c r="C1" s="7">
        <v>1</v>
      </c>
      <c r="D1" s="7" t="s">
        <v>194</v>
      </c>
      <c r="E1" s="7">
        <v>31000</v>
      </c>
      <c r="F1" s="7" t="s">
        <v>244</v>
      </c>
      <c r="G1" s="7" t="s">
        <v>247</v>
      </c>
      <c r="H1" s="16"/>
    </row>
    <row r="2" spans="1:8" x14ac:dyDescent="0.25">
      <c r="A2" s="32" t="s">
        <v>231</v>
      </c>
      <c r="B2" s="27" t="s">
        <v>121</v>
      </c>
      <c r="C2" s="27">
        <v>2</v>
      </c>
      <c r="D2" s="27" t="s">
        <v>194</v>
      </c>
      <c r="E2" s="27">
        <v>31100</v>
      </c>
      <c r="F2" s="27" t="s">
        <v>245</v>
      </c>
      <c r="G2" s="27" t="s">
        <v>246</v>
      </c>
      <c r="H2" s="11"/>
    </row>
    <row r="3" spans="1:8" x14ac:dyDescent="0.25">
      <c r="A3" s="31" t="s">
        <v>678</v>
      </c>
      <c r="B3" s="7" t="s">
        <v>121</v>
      </c>
      <c r="C3" s="7">
        <v>3</v>
      </c>
      <c r="D3" s="7" t="s">
        <v>194</v>
      </c>
      <c r="E3" s="7">
        <v>31200</v>
      </c>
      <c r="F3" s="7" t="s">
        <v>244</v>
      </c>
      <c r="G3" s="7" t="s">
        <v>247</v>
      </c>
      <c r="H3" s="16"/>
    </row>
    <row r="4" spans="1:8" x14ac:dyDescent="0.25">
      <c r="A4" s="32" t="s">
        <v>43</v>
      </c>
      <c r="B4" s="27" t="s">
        <v>121</v>
      </c>
      <c r="C4" s="27">
        <v>4</v>
      </c>
      <c r="D4" s="27" t="s">
        <v>194</v>
      </c>
      <c r="E4" s="27">
        <v>32100</v>
      </c>
      <c r="F4" s="27" t="s">
        <v>245</v>
      </c>
      <c r="G4" s="27" t="s">
        <v>250</v>
      </c>
      <c r="H4" s="11"/>
    </row>
    <row r="5" spans="1:8" x14ac:dyDescent="0.25">
      <c r="A5" s="32" t="s">
        <v>1038</v>
      </c>
      <c r="B5" s="27" t="s">
        <v>121</v>
      </c>
      <c r="C5" s="27">
        <v>5</v>
      </c>
      <c r="D5" s="27" t="s">
        <v>194</v>
      </c>
      <c r="E5" s="27">
        <v>32101</v>
      </c>
      <c r="F5" s="27" t="s">
        <v>248</v>
      </c>
      <c r="G5" s="27" t="s">
        <v>249</v>
      </c>
      <c r="H5" s="11"/>
    </row>
    <row r="6" spans="1:8" x14ac:dyDescent="0.25">
      <c r="A6" s="32" t="s">
        <v>1039</v>
      </c>
      <c r="B6" s="27" t="s">
        <v>121</v>
      </c>
      <c r="C6" s="27">
        <v>6</v>
      </c>
      <c r="D6" s="27" t="s">
        <v>194</v>
      </c>
      <c r="E6" s="27">
        <v>32103</v>
      </c>
      <c r="F6" s="27" t="s">
        <v>252</v>
      </c>
      <c r="G6" s="27"/>
      <c r="H6" s="11" t="s">
        <v>253</v>
      </c>
    </row>
    <row r="7" spans="1:8" x14ac:dyDescent="0.25">
      <c r="A7" s="32" t="s">
        <v>1040</v>
      </c>
      <c r="B7" s="27" t="s">
        <v>121</v>
      </c>
      <c r="C7" s="27">
        <v>7</v>
      </c>
      <c r="D7" s="27" t="s">
        <v>194</v>
      </c>
      <c r="E7" s="27">
        <v>32103</v>
      </c>
      <c r="F7" s="27" t="s">
        <v>252</v>
      </c>
      <c r="G7" s="27" t="s">
        <v>251</v>
      </c>
      <c r="H7" s="11" t="s">
        <v>253</v>
      </c>
    </row>
    <row r="8" spans="1:8" x14ac:dyDescent="0.25">
      <c r="A8" s="32" t="s">
        <v>46</v>
      </c>
      <c r="B8" s="27" t="s">
        <v>121</v>
      </c>
      <c r="C8" s="27">
        <v>8</v>
      </c>
      <c r="D8" s="27" t="s">
        <v>194</v>
      </c>
      <c r="E8" s="27">
        <v>32104</v>
      </c>
      <c r="F8" s="27" t="s">
        <v>245</v>
      </c>
      <c r="G8" s="27" t="s">
        <v>255</v>
      </c>
      <c r="H8" s="11"/>
    </row>
    <row r="9" spans="1:8" x14ac:dyDescent="0.25">
      <c r="A9" s="32" t="s">
        <v>1041</v>
      </c>
      <c r="B9" s="27" t="s">
        <v>121</v>
      </c>
      <c r="C9" s="27">
        <v>9</v>
      </c>
      <c r="D9" s="27" t="s">
        <v>194</v>
      </c>
      <c r="E9" s="27">
        <v>32105</v>
      </c>
      <c r="F9" s="27" t="s">
        <v>245</v>
      </c>
      <c r="G9" s="27" t="s">
        <v>257</v>
      </c>
      <c r="H9" s="11"/>
    </row>
    <row r="10" spans="1:8" x14ac:dyDescent="0.25">
      <c r="A10" s="31" t="s">
        <v>34</v>
      </c>
      <c r="B10" s="7" t="s">
        <v>121</v>
      </c>
      <c r="C10" s="7">
        <v>10</v>
      </c>
      <c r="D10" s="7" t="s">
        <v>194</v>
      </c>
      <c r="E10" s="7">
        <v>32200</v>
      </c>
      <c r="F10" s="7" t="s">
        <v>245</v>
      </c>
      <c r="G10" s="7" t="s">
        <v>258</v>
      </c>
      <c r="H10" s="16"/>
    </row>
    <row r="11" spans="1:8" x14ac:dyDescent="0.25">
      <c r="A11" s="31" t="s">
        <v>1042</v>
      </c>
      <c r="B11" s="7" t="s">
        <v>121</v>
      </c>
      <c r="C11" s="7">
        <v>11</v>
      </c>
      <c r="D11" s="7" t="s">
        <v>194</v>
      </c>
      <c r="E11" s="7">
        <v>32201</v>
      </c>
      <c r="F11" s="7" t="s">
        <v>248</v>
      </c>
      <c r="G11" s="7" t="s">
        <v>249</v>
      </c>
      <c r="H11" s="16"/>
    </row>
    <row r="12" spans="1:8" x14ac:dyDescent="0.25">
      <c r="A12" s="31" t="s">
        <v>1043</v>
      </c>
      <c r="B12" s="7" t="s">
        <v>121</v>
      </c>
      <c r="C12" s="7">
        <v>12</v>
      </c>
      <c r="D12" s="7" t="s">
        <v>194</v>
      </c>
      <c r="E12" s="7">
        <v>32202</v>
      </c>
      <c r="F12" s="7" t="s">
        <v>252</v>
      </c>
      <c r="G12" s="7"/>
      <c r="H12" s="16" t="s">
        <v>254</v>
      </c>
    </row>
    <row r="13" spans="1:8" x14ac:dyDescent="0.25">
      <c r="A13" s="31" t="s">
        <v>1044</v>
      </c>
      <c r="B13" s="7" t="s">
        <v>121</v>
      </c>
      <c r="C13" s="7">
        <v>13</v>
      </c>
      <c r="D13" s="7" t="s">
        <v>194</v>
      </c>
      <c r="E13" s="7">
        <v>32202</v>
      </c>
      <c r="F13" s="7" t="s">
        <v>252</v>
      </c>
      <c r="G13" s="7" t="s">
        <v>251</v>
      </c>
      <c r="H13" s="16" t="s">
        <v>254</v>
      </c>
    </row>
    <row r="14" spans="1:8" x14ac:dyDescent="0.25">
      <c r="A14" s="31" t="s">
        <v>1045</v>
      </c>
      <c r="B14" s="7" t="s">
        <v>121</v>
      </c>
      <c r="C14" s="7">
        <v>14</v>
      </c>
      <c r="D14" s="7" t="s">
        <v>194</v>
      </c>
      <c r="E14" s="7">
        <v>32204</v>
      </c>
      <c r="F14" s="7" t="s">
        <v>245</v>
      </c>
      <c r="G14" s="7" t="s">
        <v>259</v>
      </c>
      <c r="H14" s="16"/>
    </row>
    <row r="15" spans="1:8" x14ac:dyDescent="0.25">
      <c r="A15" s="32" t="s">
        <v>1046</v>
      </c>
      <c r="B15" s="27" t="s">
        <v>121</v>
      </c>
      <c r="C15" s="27">
        <v>15</v>
      </c>
      <c r="D15" s="27" t="s">
        <v>194</v>
      </c>
      <c r="E15" s="27">
        <v>32300</v>
      </c>
      <c r="F15" s="27" t="s">
        <v>245</v>
      </c>
      <c r="G15" s="27" t="s">
        <v>258</v>
      </c>
      <c r="H15" s="11"/>
    </row>
    <row r="16" spans="1:8" x14ac:dyDescent="0.25">
      <c r="A16" s="32" t="s">
        <v>1047</v>
      </c>
      <c r="B16" s="27" t="s">
        <v>121</v>
      </c>
      <c r="C16" s="27">
        <v>16</v>
      </c>
      <c r="D16" s="27" t="s">
        <v>194</v>
      </c>
      <c r="E16" s="27">
        <v>32301</v>
      </c>
      <c r="F16" s="27" t="s">
        <v>245</v>
      </c>
      <c r="G16" s="27" t="s">
        <v>249</v>
      </c>
      <c r="H16" s="11"/>
    </row>
    <row r="17" spans="1:8" x14ac:dyDescent="0.25">
      <c r="A17" s="32" t="s">
        <v>1048</v>
      </c>
      <c r="B17" s="27" t="s">
        <v>121</v>
      </c>
      <c r="C17" s="27">
        <v>17</v>
      </c>
      <c r="D17" s="27" t="s">
        <v>194</v>
      </c>
      <c r="E17" s="27">
        <v>32302</v>
      </c>
      <c r="F17" s="27" t="s">
        <v>252</v>
      </c>
      <c r="G17" s="27" t="s">
        <v>251</v>
      </c>
      <c r="H17" s="11"/>
    </row>
    <row r="18" spans="1:8" x14ac:dyDescent="0.25">
      <c r="A18" s="32" t="s">
        <v>1049</v>
      </c>
      <c r="B18" s="27" t="s">
        <v>121</v>
      </c>
      <c r="C18" s="27">
        <v>18</v>
      </c>
      <c r="D18" s="27" t="s">
        <v>194</v>
      </c>
      <c r="E18" s="27">
        <v>32302</v>
      </c>
      <c r="F18" s="27" t="s">
        <v>252</v>
      </c>
      <c r="G18" s="27" t="s">
        <v>251</v>
      </c>
      <c r="H18" s="11"/>
    </row>
    <row r="19" spans="1:8" x14ac:dyDescent="0.25">
      <c r="A19" s="31" t="s">
        <v>49</v>
      </c>
      <c r="B19" s="7" t="s">
        <v>121</v>
      </c>
      <c r="C19" s="7">
        <v>19</v>
      </c>
      <c r="D19" s="7" t="s">
        <v>194</v>
      </c>
      <c r="E19" s="7">
        <v>33000</v>
      </c>
      <c r="F19" s="7" t="s">
        <v>260</v>
      </c>
      <c r="G19" s="7" t="s">
        <v>261</v>
      </c>
      <c r="H19" s="16"/>
    </row>
    <row r="20" spans="1:8" x14ac:dyDescent="0.25">
      <c r="A20" s="31" t="s">
        <v>50</v>
      </c>
      <c r="B20" s="7" t="s">
        <v>121</v>
      </c>
      <c r="C20" s="7">
        <v>20</v>
      </c>
      <c r="D20" s="7" t="s">
        <v>194</v>
      </c>
      <c r="E20" s="7">
        <v>33002</v>
      </c>
      <c r="F20" s="7" t="s">
        <v>260</v>
      </c>
      <c r="G20" s="7" t="s">
        <v>261</v>
      </c>
      <c r="H20" s="16"/>
    </row>
    <row r="21" spans="1:8" x14ac:dyDescent="0.25">
      <c r="A21" s="31" t="s">
        <v>51</v>
      </c>
      <c r="B21" s="7" t="s">
        <v>121</v>
      </c>
      <c r="C21" s="7">
        <v>21</v>
      </c>
      <c r="D21" s="7" t="s">
        <v>194</v>
      </c>
      <c r="E21" s="7">
        <v>33004</v>
      </c>
      <c r="F21" s="7" t="s">
        <v>260</v>
      </c>
      <c r="G21" s="7" t="s">
        <v>261</v>
      </c>
      <c r="H21" s="16"/>
    </row>
    <row r="22" spans="1:8" x14ac:dyDescent="0.25">
      <c r="A22" s="31" t="s">
        <v>52</v>
      </c>
      <c r="B22" s="7" t="s">
        <v>121</v>
      </c>
      <c r="C22" s="7">
        <v>22</v>
      </c>
      <c r="D22" s="7" t="s">
        <v>194</v>
      </c>
      <c r="E22" s="7">
        <v>33006</v>
      </c>
      <c r="F22" s="7" t="s">
        <v>260</v>
      </c>
      <c r="G22" s="7" t="s">
        <v>261</v>
      </c>
      <c r="H22" s="16"/>
    </row>
    <row r="23" spans="1:8" x14ac:dyDescent="0.25">
      <c r="A23" s="31" t="s">
        <v>53</v>
      </c>
      <c r="B23" s="7" t="s">
        <v>121</v>
      </c>
      <c r="C23" s="7">
        <v>23</v>
      </c>
      <c r="D23" s="7" t="s">
        <v>194</v>
      </c>
      <c r="E23" s="7">
        <v>33008</v>
      </c>
      <c r="F23" s="7" t="s">
        <v>260</v>
      </c>
      <c r="G23" s="7" t="s">
        <v>261</v>
      </c>
      <c r="H23" s="16"/>
    </row>
    <row r="24" spans="1:8" x14ac:dyDescent="0.25">
      <c r="A24" s="31" t="s">
        <v>54</v>
      </c>
      <c r="B24" s="7" t="s">
        <v>121</v>
      </c>
      <c r="C24" s="7">
        <v>24</v>
      </c>
      <c r="D24" s="7" t="s">
        <v>194</v>
      </c>
      <c r="E24" s="7">
        <v>33010</v>
      </c>
      <c r="F24" s="7" t="s">
        <v>260</v>
      </c>
      <c r="G24" s="7" t="s">
        <v>261</v>
      </c>
      <c r="H24" s="16"/>
    </row>
    <row r="25" spans="1:8" x14ac:dyDescent="0.25">
      <c r="A25" s="32" t="s">
        <v>55</v>
      </c>
      <c r="B25" s="27" t="s">
        <v>121</v>
      </c>
      <c r="C25" s="27">
        <v>25</v>
      </c>
      <c r="D25" s="27" t="s">
        <v>194</v>
      </c>
      <c r="E25" s="27">
        <v>35000</v>
      </c>
      <c r="F25" s="27" t="s">
        <v>245</v>
      </c>
      <c r="G25" s="27" t="s">
        <v>262</v>
      </c>
      <c r="H25" s="11"/>
    </row>
    <row r="26" spans="1:8" x14ac:dyDescent="0.25">
      <c r="A26" s="32" t="s">
        <v>58</v>
      </c>
      <c r="B26" s="27" t="s">
        <v>121</v>
      </c>
      <c r="C26" s="27">
        <v>26</v>
      </c>
      <c r="D26" s="27" t="s">
        <v>194</v>
      </c>
      <c r="E26" s="27">
        <v>35001</v>
      </c>
      <c r="F26" s="27" t="s">
        <v>245</v>
      </c>
      <c r="G26" s="27" t="s">
        <v>262</v>
      </c>
      <c r="H26" s="11"/>
    </row>
    <row r="27" spans="1:8" x14ac:dyDescent="0.25">
      <c r="A27" s="32" t="s">
        <v>59</v>
      </c>
      <c r="B27" s="27" t="s">
        <v>121</v>
      </c>
      <c r="C27" s="27">
        <v>27</v>
      </c>
      <c r="D27" s="27" t="s">
        <v>194</v>
      </c>
      <c r="E27" s="27">
        <v>35002</v>
      </c>
      <c r="F27" s="27" t="s">
        <v>245</v>
      </c>
      <c r="G27" s="27" t="s">
        <v>262</v>
      </c>
      <c r="H27" s="11"/>
    </row>
    <row r="28" spans="1:8" x14ac:dyDescent="0.25">
      <c r="A28" s="31" t="s">
        <v>1050</v>
      </c>
      <c r="B28" s="7" t="s">
        <v>121</v>
      </c>
      <c r="C28" s="7">
        <v>28</v>
      </c>
      <c r="D28" s="7" t="s">
        <v>194</v>
      </c>
      <c r="E28" s="7">
        <v>35010</v>
      </c>
      <c r="F28" s="7" t="s">
        <v>245</v>
      </c>
      <c r="G28" s="7" t="s">
        <v>262</v>
      </c>
      <c r="H28" s="16"/>
    </row>
    <row r="29" spans="1:8" x14ac:dyDescent="0.25">
      <c r="A29" s="31" t="s">
        <v>1051</v>
      </c>
      <c r="B29" s="7" t="s">
        <v>121</v>
      </c>
      <c r="C29" s="7">
        <v>29</v>
      </c>
      <c r="D29" s="7" t="s">
        <v>194</v>
      </c>
      <c r="E29" s="7">
        <v>35011</v>
      </c>
      <c r="F29" s="7" t="s">
        <v>245</v>
      </c>
      <c r="G29" s="7" t="s">
        <v>262</v>
      </c>
      <c r="H29" s="16"/>
    </row>
    <row r="30" spans="1:8" x14ac:dyDescent="0.25">
      <c r="A30" s="32" t="s">
        <v>60</v>
      </c>
      <c r="B30" s="27" t="s">
        <v>121</v>
      </c>
      <c r="C30" s="27">
        <v>30</v>
      </c>
      <c r="D30" s="27" t="s">
        <v>194</v>
      </c>
      <c r="E30" s="27">
        <v>35100</v>
      </c>
      <c r="F30" s="27" t="s">
        <v>245</v>
      </c>
      <c r="G30" s="27" t="s">
        <v>247</v>
      </c>
      <c r="H30" s="11" t="s">
        <v>240</v>
      </c>
    </row>
    <row r="31" spans="1:8" x14ac:dyDescent="0.25">
      <c r="A31" s="31" t="s">
        <v>1052</v>
      </c>
      <c r="B31" s="7" t="s">
        <v>121</v>
      </c>
      <c r="C31" s="7">
        <v>31</v>
      </c>
      <c r="D31" s="7" t="s">
        <v>194</v>
      </c>
      <c r="E31" s="7">
        <v>35110</v>
      </c>
      <c r="F31" s="7" t="s">
        <v>245</v>
      </c>
      <c r="G31" s="7" t="s">
        <v>263</v>
      </c>
      <c r="H31" s="16"/>
    </row>
    <row r="32" spans="1:8" x14ac:dyDescent="0.25">
      <c r="A32" s="31" t="s">
        <v>1053</v>
      </c>
      <c r="B32" s="7" t="s">
        <v>121</v>
      </c>
      <c r="C32" s="7">
        <v>32</v>
      </c>
      <c r="D32" s="7" t="s">
        <v>194</v>
      </c>
      <c r="E32" s="7">
        <v>35111</v>
      </c>
      <c r="F32" s="7" t="s">
        <v>245</v>
      </c>
      <c r="G32" s="7" t="s">
        <v>264</v>
      </c>
      <c r="H32" s="16"/>
    </row>
    <row r="33" spans="1:8" x14ac:dyDescent="0.25">
      <c r="A33" s="31" t="s">
        <v>1054</v>
      </c>
      <c r="B33" s="7" t="s">
        <v>121</v>
      </c>
      <c r="C33" s="7">
        <v>33</v>
      </c>
      <c r="D33" s="7" t="s">
        <v>194</v>
      </c>
      <c r="E33" s="7">
        <v>35112</v>
      </c>
      <c r="F33" s="7" t="s">
        <v>245</v>
      </c>
      <c r="G33" s="7" t="s">
        <v>264</v>
      </c>
      <c r="H33" s="16"/>
    </row>
    <row r="34" spans="1:8" x14ac:dyDescent="0.25">
      <c r="A34" s="32" t="s">
        <v>63</v>
      </c>
      <c r="B34" s="27" t="s">
        <v>121</v>
      </c>
      <c r="C34" s="27">
        <v>34</v>
      </c>
      <c r="D34" s="27" t="s">
        <v>194</v>
      </c>
      <c r="E34" s="27">
        <v>36000</v>
      </c>
      <c r="F34" s="27" t="s">
        <v>266</v>
      </c>
      <c r="G34" s="27" t="s">
        <v>247</v>
      </c>
      <c r="H34" s="11" t="s">
        <v>1035</v>
      </c>
    </row>
    <row r="35" spans="1:8" x14ac:dyDescent="0.25">
      <c r="A35" s="31" t="s">
        <v>1055</v>
      </c>
      <c r="B35" s="7" t="s">
        <v>121</v>
      </c>
      <c r="C35" s="7">
        <v>35</v>
      </c>
      <c r="D35" s="7" t="s">
        <v>194</v>
      </c>
      <c r="E35" s="7">
        <v>36100</v>
      </c>
      <c r="F35" s="7" t="s">
        <v>266</v>
      </c>
      <c r="G35" s="7" t="s">
        <v>247</v>
      </c>
      <c r="H35" s="16" t="s">
        <v>1036</v>
      </c>
    </row>
    <row r="36" spans="1:8" x14ac:dyDescent="0.25">
      <c r="A36" s="31" t="s">
        <v>1056</v>
      </c>
      <c r="B36" s="7" t="s">
        <v>121</v>
      </c>
      <c r="C36" s="7">
        <v>36</v>
      </c>
      <c r="D36" s="7" t="s">
        <v>194</v>
      </c>
      <c r="E36" s="7">
        <v>36100</v>
      </c>
      <c r="F36" s="7" t="s">
        <v>266</v>
      </c>
      <c r="G36" s="7" t="s">
        <v>247</v>
      </c>
      <c r="H36" s="16" t="s">
        <v>1036</v>
      </c>
    </row>
    <row r="37" spans="1:8" x14ac:dyDescent="0.25">
      <c r="A37" s="32" t="s">
        <v>1057</v>
      </c>
      <c r="B37" s="27" t="s">
        <v>121</v>
      </c>
      <c r="C37" s="27">
        <v>37</v>
      </c>
      <c r="D37" s="27" t="s">
        <v>194</v>
      </c>
      <c r="E37" s="27">
        <v>41000</v>
      </c>
      <c r="F37" s="27" t="s">
        <v>245</v>
      </c>
      <c r="G37" s="27" t="s">
        <v>247</v>
      </c>
      <c r="H37" s="11" t="s">
        <v>268</v>
      </c>
    </row>
    <row r="38" spans="1:8" x14ac:dyDescent="0.25">
      <c r="A38" s="31" t="s">
        <v>1058</v>
      </c>
      <c r="B38" s="7" t="s">
        <v>121</v>
      </c>
      <c r="C38" s="7">
        <v>38</v>
      </c>
      <c r="D38" s="7" t="s">
        <v>194</v>
      </c>
      <c r="E38" s="7">
        <v>41100</v>
      </c>
      <c r="F38" s="7" t="s">
        <v>245</v>
      </c>
      <c r="G38" s="7" t="s">
        <v>247</v>
      </c>
      <c r="H38" s="16" t="s">
        <v>807</v>
      </c>
    </row>
    <row r="39" spans="1:8" x14ac:dyDescent="0.25">
      <c r="A39" s="32" t="s">
        <v>1059</v>
      </c>
      <c r="B39" s="27" t="s">
        <v>121</v>
      </c>
      <c r="C39" s="27">
        <v>39</v>
      </c>
      <c r="D39" s="27" t="s">
        <v>194</v>
      </c>
      <c r="E39" s="27">
        <v>41200</v>
      </c>
      <c r="F39" s="27" t="s">
        <v>245</v>
      </c>
      <c r="G39" s="27" t="s">
        <v>247</v>
      </c>
      <c r="H39" s="11" t="s">
        <v>267</v>
      </c>
    </row>
    <row r="40" spans="1:8" x14ac:dyDescent="0.25">
      <c r="A40" s="31" t="s">
        <v>1060</v>
      </c>
      <c r="B40" s="7" t="s">
        <v>121</v>
      </c>
      <c r="C40" s="7">
        <v>40</v>
      </c>
      <c r="D40" s="7" t="s">
        <v>194</v>
      </c>
      <c r="E40" s="7">
        <v>42000</v>
      </c>
      <c r="F40" s="7" t="s">
        <v>245</v>
      </c>
      <c r="G40" s="7" t="s">
        <v>247</v>
      </c>
      <c r="H40" s="16" t="s">
        <v>269</v>
      </c>
    </row>
    <row r="41" spans="1:8" x14ac:dyDescent="0.25">
      <c r="A41" s="32" t="s">
        <v>60</v>
      </c>
      <c r="B41" s="27" t="s">
        <v>121</v>
      </c>
      <c r="C41" s="27">
        <v>41</v>
      </c>
      <c r="D41" s="27" t="s">
        <v>194</v>
      </c>
      <c r="E41" s="27">
        <v>42010</v>
      </c>
      <c r="F41" s="27" t="s">
        <v>245</v>
      </c>
      <c r="G41" s="27" t="s">
        <v>247</v>
      </c>
      <c r="H41" s="11" t="s">
        <v>200</v>
      </c>
    </row>
    <row r="42" spans="1:8" x14ac:dyDescent="0.25">
      <c r="A42" s="32" t="s">
        <v>1061</v>
      </c>
      <c r="B42" s="27" t="s">
        <v>121</v>
      </c>
      <c r="C42" s="27">
        <v>42</v>
      </c>
      <c r="D42" s="27" t="s">
        <v>194</v>
      </c>
      <c r="E42" s="27">
        <v>42011</v>
      </c>
      <c r="F42" s="27" t="s">
        <v>245</v>
      </c>
      <c r="G42" s="27">
        <v>0.01</v>
      </c>
      <c r="H42" s="11" t="s">
        <v>203</v>
      </c>
    </row>
    <row r="43" spans="1:8" x14ac:dyDescent="0.25">
      <c r="A43" s="31" t="s">
        <v>85</v>
      </c>
      <c r="B43" s="7" t="s">
        <v>121</v>
      </c>
      <c r="C43" s="7">
        <v>43</v>
      </c>
      <c r="D43" s="7" t="s">
        <v>194</v>
      </c>
      <c r="E43" s="7">
        <v>42020</v>
      </c>
      <c r="F43" s="7" t="s">
        <v>245</v>
      </c>
      <c r="G43" s="7" t="s">
        <v>251</v>
      </c>
      <c r="H43" s="16" t="s">
        <v>204</v>
      </c>
    </row>
    <row r="44" spans="1:8" x14ac:dyDescent="0.25">
      <c r="A44" s="31" t="s">
        <v>86</v>
      </c>
      <c r="B44" s="7" t="s">
        <v>121</v>
      </c>
      <c r="C44" s="7">
        <v>44</v>
      </c>
      <c r="D44" s="7" t="s">
        <v>194</v>
      </c>
      <c r="E44" s="7">
        <v>42021</v>
      </c>
      <c r="F44" s="7" t="s">
        <v>245</v>
      </c>
      <c r="G44" s="7" t="s">
        <v>251</v>
      </c>
      <c r="H44" s="16" t="s">
        <v>205</v>
      </c>
    </row>
    <row r="45" spans="1:8" x14ac:dyDescent="0.25">
      <c r="A45" s="32" t="s">
        <v>87</v>
      </c>
      <c r="B45" s="27" t="s">
        <v>121</v>
      </c>
      <c r="C45" s="27">
        <v>45</v>
      </c>
      <c r="D45" s="27" t="s">
        <v>194</v>
      </c>
      <c r="E45" s="27">
        <v>43000</v>
      </c>
      <c r="F45" s="27" t="s">
        <v>245</v>
      </c>
      <c r="G45" s="27" t="s">
        <v>247</v>
      </c>
      <c r="H45" s="11" t="s">
        <v>202</v>
      </c>
    </row>
    <row r="46" spans="1:8" x14ac:dyDescent="0.25">
      <c r="A46" s="31" t="s">
        <v>1062</v>
      </c>
      <c r="B46" s="7" t="s">
        <v>121</v>
      </c>
      <c r="C46" s="7">
        <v>46</v>
      </c>
      <c r="D46" s="7" t="s">
        <v>194</v>
      </c>
      <c r="E46" s="7">
        <v>44000</v>
      </c>
      <c r="F46" s="7" t="s">
        <v>245</v>
      </c>
      <c r="G46" s="7" t="s">
        <v>255</v>
      </c>
      <c r="H46" s="16"/>
    </row>
    <row r="47" spans="1:8" x14ac:dyDescent="0.25">
      <c r="A47" s="31" t="s">
        <v>1063</v>
      </c>
      <c r="B47" s="7" t="s">
        <v>121</v>
      </c>
      <c r="C47" s="7">
        <v>47</v>
      </c>
      <c r="D47" s="7" t="s">
        <v>194</v>
      </c>
      <c r="E47" s="7">
        <v>44001</v>
      </c>
      <c r="F47" s="7" t="s">
        <v>245</v>
      </c>
      <c r="G47" s="7" t="s">
        <v>255</v>
      </c>
      <c r="H47" s="16"/>
    </row>
    <row r="48" spans="1:8" x14ac:dyDescent="0.25">
      <c r="A48" s="31" t="s">
        <v>90</v>
      </c>
      <c r="B48" s="7" t="s">
        <v>121</v>
      </c>
      <c r="C48" s="7">
        <v>48</v>
      </c>
      <c r="D48" s="7" t="s">
        <v>194</v>
      </c>
      <c r="E48" s="7">
        <v>44002</v>
      </c>
      <c r="F48" s="7" t="s">
        <v>245</v>
      </c>
      <c r="G48" s="7" t="s">
        <v>251</v>
      </c>
      <c r="H48" s="16"/>
    </row>
    <row r="49" spans="1:8" x14ac:dyDescent="0.25">
      <c r="A49" s="31" t="s">
        <v>91</v>
      </c>
      <c r="B49" s="7" t="s">
        <v>121</v>
      </c>
      <c r="C49" s="7">
        <v>49</v>
      </c>
      <c r="D49" s="7" t="s">
        <v>194</v>
      </c>
      <c r="E49" s="7">
        <v>44003</v>
      </c>
      <c r="F49" s="7" t="s">
        <v>245</v>
      </c>
      <c r="G49" s="7" t="s">
        <v>251</v>
      </c>
      <c r="H49" s="16"/>
    </row>
    <row r="50" spans="1:8" x14ac:dyDescent="0.25">
      <c r="B50" s="1"/>
    </row>
    <row r="51" spans="1:8" x14ac:dyDescent="0.25">
      <c r="B51" s="1"/>
    </row>
    <row r="52" spans="1:8" x14ac:dyDescent="0.25">
      <c r="B52" s="1"/>
    </row>
    <row r="53" spans="1:8" x14ac:dyDescent="0.25">
      <c r="B53" s="1"/>
    </row>
    <row r="54" spans="1:8" x14ac:dyDescent="0.25">
      <c r="B5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1B3A-6B3D-456C-B0AA-CC5FC0D14007}">
  <sheetPr codeName="Sheet3"/>
  <dimension ref="A1:I54"/>
  <sheetViews>
    <sheetView topLeftCell="A10" zoomScale="115" zoomScaleNormal="115" workbookViewId="0">
      <selection activeCell="A33" sqref="A33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31" t="s">
        <v>862</v>
      </c>
      <c r="B1" s="7" t="s">
        <v>121</v>
      </c>
      <c r="C1" s="7">
        <v>1</v>
      </c>
      <c r="D1" s="7" t="s">
        <v>194</v>
      </c>
      <c r="E1" s="7">
        <v>31000</v>
      </c>
      <c r="F1" s="7">
        <v>10</v>
      </c>
      <c r="G1" s="7" t="s">
        <v>244</v>
      </c>
      <c r="H1" s="7" t="s">
        <v>247</v>
      </c>
      <c r="I1" s="16"/>
    </row>
    <row r="2" spans="1:9" x14ac:dyDescent="0.25">
      <c r="A2" s="32" t="s">
        <v>863</v>
      </c>
      <c r="B2" s="27" t="s">
        <v>121</v>
      </c>
      <c r="C2" s="27">
        <f t="shared" ref="C2:C49" si="0">C1+F1</f>
        <v>11</v>
      </c>
      <c r="D2" s="27" t="s">
        <v>194</v>
      </c>
      <c r="E2" s="27">
        <v>31100</v>
      </c>
      <c r="F2" s="27">
        <v>1</v>
      </c>
      <c r="G2" s="27" t="s">
        <v>245</v>
      </c>
      <c r="H2" s="27" t="s">
        <v>246</v>
      </c>
      <c r="I2" s="11"/>
    </row>
    <row r="3" spans="1:9" x14ac:dyDescent="0.25">
      <c r="A3" s="31" t="s">
        <v>864</v>
      </c>
      <c r="B3" s="7" t="s">
        <v>121</v>
      </c>
      <c r="C3" s="7">
        <f t="shared" si="0"/>
        <v>12</v>
      </c>
      <c r="D3" s="7" t="s">
        <v>194</v>
      </c>
      <c r="E3" s="7">
        <v>31200</v>
      </c>
      <c r="F3" s="7">
        <v>10</v>
      </c>
      <c r="G3" s="7" t="s">
        <v>244</v>
      </c>
      <c r="H3" s="7" t="s">
        <v>247</v>
      </c>
      <c r="I3" s="16"/>
    </row>
    <row r="4" spans="1:9" x14ac:dyDescent="0.25">
      <c r="A4" s="32" t="s">
        <v>865</v>
      </c>
      <c r="B4" s="27" t="s">
        <v>121</v>
      </c>
      <c r="C4" s="27">
        <f t="shared" si="0"/>
        <v>22</v>
      </c>
      <c r="D4" s="27" t="s">
        <v>194</v>
      </c>
      <c r="E4" s="27">
        <v>32100</v>
      </c>
      <c r="F4" s="27">
        <v>1</v>
      </c>
      <c r="G4" s="27" t="s">
        <v>245</v>
      </c>
      <c r="H4" s="27" t="s">
        <v>250</v>
      </c>
      <c r="I4" s="11"/>
    </row>
    <row r="5" spans="1:9" x14ac:dyDescent="0.25">
      <c r="A5" s="32" t="s">
        <v>866</v>
      </c>
      <c r="B5" s="27" t="s">
        <v>121</v>
      </c>
      <c r="C5" s="27">
        <f t="shared" si="0"/>
        <v>23</v>
      </c>
      <c r="D5" s="27" t="s">
        <v>194</v>
      </c>
      <c r="E5" s="27">
        <v>32101</v>
      </c>
      <c r="F5" s="27">
        <v>1</v>
      </c>
      <c r="G5" s="27" t="s">
        <v>248</v>
      </c>
      <c r="H5" s="27" t="s">
        <v>249</v>
      </c>
      <c r="I5" s="11"/>
    </row>
    <row r="6" spans="1:9" x14ac:dyDescent="0.25">
      <c r="A6" s="32" t="s">
        <v>921</v>
      </c>
      <c r="B6" s="27" t="s">
        <v>121</v>
      </c>
      <c r="C6" s="27">
        <f t="shared" si="0"/>
        <v>24</v>
      </c>
      <c r="D6" s="27" t="s">
        <v>194</v>
      </c>
      <c r="E6" s="27">
        <v>32103</v>
      </c>
      <c r="F6" s="27">
        <v>1</v>
      </c>
      <c r="G6" s="27" t="s">
        <v>252</v>
      </c>
      <c r="H6" s="27"/>
      <c r="I6" s="11" t="s">
        <v>253</v>
      </c>
    </row>
    <row r="7" spans="1:9" x14ac:dyDescent="0.25">
      <c r="A7" s="32" t="s">
        <v>922</v>
      </c>
      <c r="B7" s="27" t="s">
        <v>121</v>
      </c>
      <c r="C7" s="27">
        <f t="shared" si="0"/>
        <v>25</v>
      </c>
      <c r="D7" s="27" t="s">
        <v>194</v>
      </c>
      <c r="E7" s="27">
        <v>32103</v>
      </c>
      <c r="F7" s="27">
        <v>1</v>
      </c>
      <c r="G7" s="27" t="s">
        <v>252</v>
      </c>
      <c r="H7" s="27" t="s">
        <v>251</v>
      </c>
      <c r="I7" s="11" t="s">
        <v>253</v>
      </c>
    </row>
    <row r="8" spans="1:9" x14ac:dyDescent="0.25">
      <c r="A8" s="32" t="s">
        <v>868</v>
      </c>
      <c r="B8" s="27" t="s">
        <v>121</v>
      </c>
      <c r="C8" s="27">
        <f t="shared" si="0"/>
        <v>26</v>
      </c>
      <c r="D8" s="27" t="s">
        <v>194</v>
      </c>
      <c r="E8" s="27">
        <v>32104</v>
      </c>
      <c r="F8" s="27">
        <v>1</v>
      </c>
      <c r="G8" s="27" t="s">
        <v>245</v>
      </c>
      <c r="H8" s="27" t="s">
        <v>255</v>
      </c>
      <c r="I8" s="11"/>
    </row>
    <row r="9" spans="1:9" x14ac:dyDescent="0.25">
      <c r="A9" s="32" t="s">
        <v>869</v>
      </c>
      <c r="B9" s="27" t="s">
        <v>121</v>
      </c>
      <c r="C9" s="27">
        <f t="shared" si="0"/>
        <v>27</v>
      </c>
      <c r="D9" s="27" t="s">
        <v>194</v>
      </c>
      <c r="E9" s="27">
        <v>32105</v>
      </c>
      <c r="F9" s="27">
        <v>1</v>
      </c>
      <c r="G9" s="27" t="s">
        <v>245</v>
      </c>
      <c r="H9" s="27" t="s">
        <v>257</v>
      </c>
      <c r="I9" s="11"/>
    </row>
    <row r="10" spans="1:9" x14ac:dyDescent="0.25">
      <c r="A10" s="31" t="s">
        <v>870</v>
      </c>
      <c r="B10" s="7" t="s">
        <v>121</v>
      </c>
      <c r="C10" s="7">
        <f t="shared" si="0"/>
        <v>28</v>
      </c>
      <c r="D10" s="7" t="s">
        <v>194</v>
      </c>
      <c r="E10" s="7">
        <v>32200</v>
      </c>
      <c r="F10" s="7">
        <v>1</v>
      </c>
      <c r="G10" s="7" t="s">
        <v>245</v>
      </c>
      <c r="H10" s="7" t="s">
        <v>258</v>
      </c>
      <c r="I10" s="16"/>
    </row>
    <row r="11" spans="1:9" x14ac:dyDescent="0.25">
      <c r="A11" s="31" t="s">
        <v>871</v>
      </c>
      <c r="B11" s="7" t="s">
        <v>121</v>
      </c>
      <c r="C11" s="7">
        <f t="shared" si="0"/>
        <v>29</v>
      </c>
      <c r="D11" s="7" t="s">
        <v>194</v>
      </c>
      <c r="E11" s="7">
        <v>32201</v>
      </c>
      <c r="F11" s="7">
        <v>1</v>
      </c>
      <c r="G11" s="7" t="s">
        <v>248</v>
      </c>
      <c r="H11" s="7" t="s">
        <v>249</v>
      </c>
      <c r="I11" s="16"/>
    </row>
    <row r="12" spans="1:9" x14ac:dyDescent="0.25">
      <c r="A12" s="31" t="s">
        <v>923</v>
      </c>
      <c r="B12" s="7" t="s">
        <v>121</v>
      </c>
      <c r="C12" s="7">
        <f t="shared" si="0"/>
        <v>30</v>
      </c>
      <c r="D12" s="7" t="s">
        <v>194</v>
      </c>
      <c r="E12" s="7">
        <v>32202</v>
      </c>
      <c r="F12" s="7">
        <v>1</v>
      </c>
      <c r="G12" s="7" t="s">
        <v>252</v>
      </c>
      <c r="H12" s="7"/>
      <c r="I12" s="16" t="s">
        <v>254</v>
      </c>
    </row>
    <row r="13" spans="1:9" x14ac:dyDescent="0.25">
      <c r="A13" s="31" t="s">
        <v>924</v>
      </c>
      <c r="B13" s="7" t="s">
        <v>121</v>
      </c>
      <c r="C13" s="7">
        <f t="shared" si="0"/>
        <v>31</v>
      </c>
      <c r="D13" s="7" t="s">
        <v>194</v>
      </c>
      <c r="E13" s="7">
        <v>32202</v>
      </c>
      <c r="F13" s="7">
        <v>1</v>
      </c>
      <c r="G13" s="7" t="s">
        <v>252</v>
      </c>
      <c r="H13" s="7" t="s">
        <v>251</v>
      </c>
      <c r="I13" s="16" t="s">
        <v>254</v>
      </c>
    </row>
    <row r="14" spans="1:9" x14ac:dyDescent="0.25">
      <c r="A14" s="31" t="s">
        <v>873</v>
      </c>
      <c r="B14" s="7" t="s">
        <v>121</v>
      </c>
      <c r="C14" s="7">
        <f t="shared" si="0"/>
        <v>32</v>
      </c>
      <c r="D14" s="7" t="s">
        <v>194</v>
      </c>
      <c r="E14" s="7">
        <v>32204</v>
      </c>
      <c r="F14" s="7">
        <v>1</v>
      </c>
      <c r="G14" s="7" t="s">
        <v>245</v>
      </c>
      <c r="H14" s="7" t="s">
        <v>259</v>
      </c>
      <c r="I14" s="16"/>
    </row>
    <row r="15" spans="1:9" x14ac:dyDescent="0.25">
      <c r="A15" s="32" t="s">
        <v>874</v>
      </c>
      <c r="B15" s="27" t="s">
        <v>121</v>
      </c>
      <c r="C15" s="27">
        <f t="shared" si="0"/>
        <v>33</v>
      </c>
      <c r="D15" s="27" t="s">
        <v>194</v>
      </c>
      <c r="E15" s="27">
        <v>32300</v>
      </c>
      <c r="F15" s="27">
        <v>1</v>
      </c>
      <c r="G15" s="27" t="s">
        <v>245</v>
      </c>
      <c r="H15" s="27" t="s">
        <v>258</v>
      </c>
      <c r="I15" s="11"/>
    </row>
    <row r="16" spans="1:9" x14ac:dyDescent="0.25">
      <c r="A16" s="32" t="s">
        <v>875</v>
      </c>
      <c r="B16" s="27" t="s">
        <v>121</v>
      </c>
      <c r="C16" s="27">
        <f t="shared" si="0"/>
        <v>34</v>
      </c>
      <c r="D16" s="27" t="s">
        <v>194</v>
      </c>
      <c r="E16" s="27">
        <v>32301</v>
      </c>
      <c r="F16" s="27">
        <v>1</v>
      </c>
      <c r="G16" s="27" t="s">
        <v>245</v>
      </c>
      <c r="H16" s="27" t="s">
        <v>249</v>
      </c>
      <c r="I16" s="11"/>
    </row>
    <row r="17" spans="1:9" x14ac:dyDescent="0.25">
      <c r="A17" s="32" t="s">
        <v>925</v>
      </c>
      <c r="B17" s="27" t="s">
        <v>121</v>
      </c>
      <c r="C17" s="27">
        <f t="shared" si="0"/>
        <v>35</v>
      </c>
      <c r="D17" s="27" t="s">
        <v>194</v>
      </c>
      <c r="E17" s="27">
        <v>32302</v>
      </c>
      <c r="F17" s="27">
        <v>1</v>
      </c>
      <c r="G17" s="27" t="s">
        <v>252</v>
      </c>
      <c r="H17" s="27" t="s">
        <v>251</v>
      </c>
      <c r="I17" s="11"/>
    </row>
    <row r="18" spans="1:9" x14ac:dyDescent="0.25">
      <c r="A18" s="32" t="s">
        <v>926</v>
      </c>
      <c r="B18" s="27" t="s">
        <v>121</v>
      </c>
      <c r="C18" s="27">
        <f t="shared" si="0"/>
        <v>36</v>
      </c>
      <c r="D18" s="27" t="s">
        <v>194</v>
      </c>
      <c r="E18" s="27">
        <v>32302</v>
      </c>
      <c r="F18" s="27">
        <v>1</v>
      </c>
      <c r="G18" s="27" t="s">
        <v>252</v>
      </c>
      <c r="H18" s="27" t="s">
        <v>251</v>
      </c>
      <c r="I18" s="11"/>
    </row>
    <row r="19" spans="1:9" x14ac:dyDescent="0.25">
      <c r="A19" s="31" t="s">
        <v>877</v>
      </c>
      <c r="B19" s="7" t="s">
        <v>121</v>
      </c>
      <c r="C19" s="7">
        <f t="shared" si="0"/>
        <v>37</v>
      </c>
      <c r="D19" s="7" t="s">
        <v>194</v>
      </c>
      <c r="E19" s="7">
        <v>33000</v>
      </c>
      <c r="F19" s="7">
        <v>2</v>
      </c>
      <c r="G19" s="7" t="s">
        <v>260</v>
      </c>
      <c r="H19" s="7" t="s">
        <v>261</v>
      </c>
      <c r="I19" s="16"/>
    </row>
    <row r="20" spans="1:9" x14ac:dyDescent="0.25">
      <c r="A20" s="31" t="s">
        <v>878</v>
      </c>
      <c r="B20" s="7" t="s">
        <v>121</v>
      </c>
      <c r="C20" s="7">
        <f t="shared" si="0"/>
        <v>39</v>
      </c>
      <c r="D20" s="7" t="s">
        <v>194</v>
      </c>
      <c r="E20" s="7">
        <v>33002</v>
      </c>
      <c r="F20" s="7">
        <v>2</v>
      </c>
      <c r="G20" s="7" t="s">
        <v>260</v>
      </c>
      <c r="H20" s="7" t="s">
        <v>261</v>
      </c>
      <c r="I20" s="16"/>
    </row>
    <row r="21" spans="1:9" x14ac:dyDescent="0.25">
      <c r="A21" s="31" t="s">
        <v>879</v>
      </c>
      <c r="B21" s="7" t="s">
        <v>121</v>
      </c>
      <c r="C21" s="7">
        <f t="shared" si="0"/>
        <v>41</v>
      </c>
      <c r="D21" s="7" t="s">
        <v>194</v>
      </c>
      <c r="E21" s="7">
        <v>33004</v>
      </c>
      <c r="F21" s="7">
        <v>2</v>
      </c>
      <c r="G21" s="7" t="s">
        <v>260</v>
      </c>
      <c r="H21" s="7" t="s">
        <v>261</v>
      </c>
      <c r="I21" s="16"/>
    </row>
    <row r="22" spans="1:9" x14ac:dyDescent="0.25">
      <c r="A22" s="31" t="s">
        <v>880</v>
      </c>
      <c r="B22" s="7" t="s">
        <v>121</v>
      </c>
      <c r="C22" s="7">
        <f t="shared" si="0"/>
        <v>43</v>
      </c>
      <c r="D22" s="7" t="s">
        <v>194</v>
      </c>
      <c r="E22" s="7">
        <v>33006</v>
      </c>
      <c r="F22" s="7">
        <v>2</v>
      </c>
      <c r="G22" s="7" t="s">
        <v>260</v>
      </c>
      <c r="H22" s="7" t="s">
        <v>261</v>
      </c>
      <c r="I22" s="16"/>
    </row>
    <row r="23" spans="1:9" x14ac:dyDescent="0.25">
      <c r="A23" s="31" t="s">
        <v>881</v>
      </c>
      <c r="B23" s="7" t="s">
        <v>121</v>
      </c>
      <c r="C23" s="7">
        <f t="shared" si="0"/>
        <v>45</v>
      </c>
      <c r="D23" s="7" t="s">
        <v>194</v>
      </c>
      <c r="E23" s="7">
        <v>33008</v>
      </c>
      <c r="F23" s="7">
        <v>2</v>
      </c>
      <c r="G23" s="7" t="s">
        <v>260</v>
      </c>
      <c r="H23" s="7" t="s">
        <v>261</v>
      </c>
      <c r="I23" s="16"/>
    </row>
    <row r="24" spans="1:9" x14ac:dyDescent="0.25">
      <c r="A24" s="31" t="s">
        <v>882</v>
      </c>
      <c r="B24" s="7" t="s">
        <v>121</v>
      </c>
      <c r="C24" s="7">
        <f t="shared" si="0"/>
        <v>47</v>
      </c>
      <c r="D24" s="7" t="s">
        <v>194</v>
      </c>
      <c r="E24" s="7">
        <v>33010</v>
      </c>
      <c r="F24" s="7">
        <v>2</v>
      </c>
      <c r="G24" s="7" t="s">
        <v>260</v>
      </c>
      <c r="H24" s="7" t="s">
        <v>261</v>
      </c>
      <c r="I24" s="16"/>
    </row>
    <row r="25" spans="1:9" x14ac:dyDescent="0.25">
      <c r="A25" s="32" t="s">
        <v>883</v>
      </c>
      <c r="B25" s="27" t="s">
        <v>121</v>
      </c>
      <c r="C25" s="27">
        <f t="shared" si="0"/>
        <v>49</v>
      </c>
      <c r="D25" s="27" t="s">
        <v>194</v>
      </c>
      <c r="E25" s="27">
        <v>35000</v>
      </c>
      <c r="F25" s="27">
        <v>1</v>
      </c>
      <c r="G25" s="27" t="s">
        <v>245</v>
      </c>
      <c r="H25" s="27" t="s">
        <v>262</v>
      </c>
      <c r="I25" s="11"/>
    </row>
    <row r="26" spans="1:9" x14ac:dyDescent="0.25">
      <c r="A26" s="32" t="s">
        <v>884</v>
      </c>
      <c r="B26" s="27" t="s">
        <v>121</v>
      </c>
      <c r="C26" s="27">
        <f t="shared" si="0"/>
        <v>50</v>
      </c>
      <c r="D26" s="27" t="s">
        <v>194</v>
      </c>
      <c r="E26" s="27">
        <v>35001</v>
      </c>
      <c r="F26" s="27">
        <v>1</v>
      </c>
      <c r="G26" s="27" t="s">
        <v>245</v>
      </c>
      <c r="H26" s="27" t="s">
        <v>262</v>
      </c>
      <c r="I26" s="11"/>
    </row>
    <row r="27" spans="1:9" x14ac:dyDescent="0.25">
      <c r="A27" s="32" t="s">
        <v>885</v>
      </c>
      <c r="B27" s="27" t="s">
        <v>121</v>
      </c>
      <c r="C27" s="27">
        <f t="shared" si="0"/>
        <v>51</v>
      </c>
      <c r="D27" s="27" t="s">
        <v>194</v>
      </c>
      <c r="E27" s="27">
        <v>35002</v>
      </c>
      <c r="F27" s="27">
        <v>1</v>
      </c>
      <c r="G27" s="27" t="s">
        <v>245</v>
      </c>
      <c r="H27" s="27" t="s">
        <v>262</v>
      </c>
      <c r="I27" s="11"/>
    </row>
    <row r="28" spans="1:9" x14ac:dyDescent="0.25">
      <c r="A28" s="31" t="s">
        <v>886</v>
      </c>
      <c r="B28" s="7" t="s">
        <v>121</v>
      </c>
      <c r="C28" s="7">
        <f t="shared" si="0"/>
        <v>52</v>
      </c>
      <c r="D28" s="7" t="s">
        <v>194</v>
      </c>
      <c r="E28" s="7">
        <v>35010</v>
      </c>
      <c r="F28" s="7">
        <v>1</v>
      </c>
      <c r="G28" s="7" t="s">
        <v>245</v>
      </c>
      <c r="H28" s="7" t="s">
        <v>262</v>
      </c>
      <c r="I28" s="16"/>
    </row>
    <row r="29" spans="1:9" x14ac:dyDescent="0.25">
      <c r="A29" s="31" t="s">
        <v>887</v>
      </c>
      <c r="B29" s="7" t="s">
        <v>121</v>
      </c>
      <c r="C29" s="7">
        <f t="shared" si="0"/>
        <v>53</v>
      </c>
      <c r="D29" s="7" t="s">
        <v>194</v>
      </c>
      <c r="E29" s="7">
        <v>35011</v>
      </c>
      <c r="F29" s="7">
        <v>1</v>
      </c>
      <c r="G29" s="7" t="s">
        <v>245</v>
      </c>
      <c r="H29" s="7" t="s">
        <v>262</v>
      </c>
      <c r="I29" s="16"/>
    </row>
    <row r="30" spans="1:9" x14ac:dyDescent="0.25">
      <c r="A30" s="32" t="s">
        <v>888</v>
      </c>
      <c r="B30" s="27" t="s">
        <v>121</v>
      </c>
      <c r="C30" s="27">
        <f t="shared" si="0"/>
        <v>54</v>
      </c>
      <c r="D30" s="27" t="s">
        <v>194</v>
      </c>
      <c r="E30" s="27">
        <v>35100</v>
      </c>
      <c r="F30" s="27">
        <v>1</v>
      </c>
      <c r="G30" s="27" t="s">
        <v>245</v>
      </c>
      <c r="H30" s="27" t="s">
        <v>247</v>
      </c>
      <c r="I30" s="11" t="s">
        <v>240</v>
      </c>
    </row>
    <row r="31" spans="1:9" x14ac:dyDescent="0.25">
      <c r="A31" s="31" t="s">
        <v>889</v>
      </c>
      <c r="B31" s="7" t="s">
        <v>121</v>
      </c>
      <c r="C31" s="7">
        <f t="shared" si="0"/>
        <v>55</v>
      </c>
      <c r="D31" s="7" t="s">
        <v>194</v>
      </c>
      <c r="E31" s="7">
        <v>35110</v>
      </c>
      <c r="F31" s="7">
        <v>1</v>
      </c>
      <c r="G31" s="7" t="s">
        <v>245</v>
      </c>
      <c r="H31" s="7" t="s">
        <v>263</v>
      </c>
      <c r="I31" s="16"/>
    </row>
    <row r="32" spans="1:9" x14ac:dyDescent="0.25">
      <c r="A32" s="31" t="s">
        <v>890</v>
      </c>
      <c r="B32" s="7" t="s">
        <v>121</v>
      </c>
      <c r="C32" s="7">
        <f t="shared" si="0"/>
        <v>56</v>
      </c>
      <c r="D32" s="7" t="s">
        <v>194</v>
      </c>
      <c r="E32" s="7">
        <v>35111</v>
      </c>
      <c r="F32" s="7">
        <v>1</v>
      </c>
      <c r="G32" s="7" t="s">
        <v>245</v>
      </c>
      <c r="H32" s="7" t="s">
        <v>264</v>
      </c>
      <c r="I32" s="16"/>
    </row>
    <row r="33" spans="1:9" x14ac:dyDescent="0.25">
      <c r="A33" s="31" t="s">
        <v>1023</v>
      </c>
      <c r="B33" s="7" t="s">
        <v>121</v>
      </c>
      <c r="C33" s="7">
        <f t="shared" si="0"/>
        <v>57</v>
      </c>
      <c r="D33" s="7" t="s">
        <v>194</v>
      </c>
      <c r="E33" s="7">
        <v>35112</v>
      </c>
      <c r="F33" s="7">
        <v>1</v>
      </c>
      <c r="G33" s="7" t="s">
        <v>245</v>
      </c>
      <c r="H33" s="7" t="s">
        <v>264</v>
      </c>
      <c r="I33" s="16"/>
    </row>
    <row r="34" spans="1:9" x14ac:dyDescent="0.25">
      <c r="A34" s="32" t="s">
        <v>892</v>
      </c>
      <c r="B34" s="27" t="s">
        <v>121</v>
      </c>
      <c r="C34" s="27">
        <f t="shared" si="0"/>
        <v>58</v>
      </c>
      <c r="D34" s="27" t="s">
        <v>194</v>
      </c>
      <c r="E34" s="27">
        <v>36000</v>
      </c>
      <c r="F34" s="27">
        <v>1</v>
      </c>
      <c r="G34" s="27" t="s">
        <v>266</v>
      </c>
      <c r="H34" s="27" t="s">
        <v>247</v>
      </c>
      <c r="I34" s="11" t="s">
        <v>1035</v>
      </c>
    </row>
    <row r="35" spans="1:9" x14ac:dyDescent="0.25">
      <c r="A35" s="31" t="s">
        <v>961</v>
      </c>
      <c r="B35" s="7" t="s">
        <v>121</v>
      </c>
      <c r="C35" s="7">
        <f t="shared" si="0"/>
        <v>59</v>
      </c>
      <c r="D35" s="7" t="s">
        <v>194</v>
      </c>
      <c r="E35" s="7">
        <v>36100</v>
      </c>
      <c r="F35" s="7">
        <v>1</v>
      </c>
      <c r="G35" s="7" t="s">
        <v>266</v>
      </c>
      <c r="H35" s="7" t="s">
        <v>247</v>
      </c>
      <c r="I35" s="16" t="s">
        <v>1036</v>
      </c>
    </row>
    <row r="36" spans="1:9" x14ac:dyDescent="0.25">
      <c r="A36" s="31" t="s">
        <v>960</v>
      </c>
      <c r="B36" s="7" t="s">
        <v>121</v>
      </c>
      <c r="C36" s="7">
        <f t="shared" si="0"/>
        <v>60</v>
      </c>
      <c r="D36" s="7" t="s">
        <v>194</v>
      </c>
      <c r="E36" s="7">
        <v>36100</v>
      </c>
      <c r="F36" s="7">
        <v>1</v>
      </c>
      <c r="G36" s="7" t="s">
        <v>266</v>
      </c>
      <c r="H36" s="7" t="s">
        <v>247</v>
      </c>
      <c r="I36" s="16" t="s">
        <v>1036</v>
      </c>
    </row>
    <row r="37" spans="1:9" x14ac:dyDescent="0.25">
      <c r="A37" s="32" t="s">
        <v>894</v>
      </c>
      <c r="B37" s="27" t="s">
        <v>121</v>
      </c>
      <c r="C37" s="27">
        <f t="shared" si="0"/>
        <v>61</v>
      </c>
      <c r="D37" s="27" t="s">
        <v>194</v>
      </c>
      <c r="E37" s="27">
        <v>41000</v>
      </c>
      <c r="F37" s="27">
        <v>1</v>
      </c>
      <c r="G37" s="27" t="s">
        <v>245</v>
      </c>
      <c r="H37" s="27" t="s">
        <v>247</v>
      </c>
      <c r="I37" s="11" t="s">
        <v>268</v>
      </c>
    </row>
    <row r="38" spans="1:9" x14ac:dyDescent="0.25">
      <c r="A38" s="31" t="s">
        <v>895</v>
      </c>
      <c r="B38" s="7" t="s">
        <v>121</v>
      </c>
      <c r="C38" s="7">
        <f t="shared" si="0"/>
        <v>62</v>
      </c>
      <c r="D38" s="7" t="s">
        <v>194</v>
      </c>
      <c r="E38" s="7">
        <v>41100</v>
      </c>
      <c r="F38" s="7">
        <v>1</v>
      </c>
      <c r="G38" s="7" t="s">
        <v>245</v>
      </c>
      <c r="H38" s="7" t="s">
        <v>247</v>
      </c>
      <c r="I38" s="16" t="s">
        <v>807</v>
      </c>
    </row>
    <row r="39" spans="1:9" x14ac:dyDescent="0.25">
      <c r="A39" s="32" t="s">
        <v>896</v>
      </c>
      <c r="B39" s="27" t="s">
        <v>121</v>
      </c>
      <c r="C39" s="27">
        <f t="shared" si="0"/>
        <v>63</v>
      </c>
      <c r="D39" s="27" t="s">
        <v>194</v>
      </c>
      <c r="E39" s="27">
        <v>41200</v>
      </c>
      <c r="F39" s="27">
        <v>1</v>
      </c>
      <c r="G39" s="27" t="s">
        <v>245</v>
      </c>
      <c r="H39" s="27" t="s">
        <v>247</v>
      </c>
      <c r="I39" s="11" t="s">
        <v>267</v>
      </c>
    </row>
    <row r="40" spans="1:9" x14ac:dyDescent="0.25">
      <c r="A40" s="31" t="s">
        <v>897</v>
      </c>
      <c r="B40" s="7" t="s">
        <v>121</v>
      </c>
      <c r="C40" s="7">
        <f t="shared" si="0"/>
        <v>64</v>
      </c>
      <c r="D40" s="7" t="s">
        <v>194</v>
      </c>
      <c r="E40" s="7">
        <v>42000</v>
      </c>
      <c r="F40" s="7">
        <v>1</v>
      </c>
      <c r="G40" s="7" t="s">
        <v>245</v>
      </c>
      <c r="H40" s="7" t="s">
        <v>247</v>
      </c>
      <c r="I40" s="16" t="s">
        <v>269</v>
      </c>
    </row>
    <row r="41" spans="1:9" x14ac:dyDescent="0.25">
      <c r="A41" s="32" t="s">
        <v>888</v>
      </c>
      <c r="B41" s="27" t="s">
        <v>121</v>
      </c>
      <c r="C41" s="27">
        <f t="shared" si="0"/>
        <v>65</v>
      </c>
      <c r="D41" s="27" t="s">
        <v>194</v>
      </c>
      <c r="E41" s="27">
        <v>42010</v>
      </c>
      <c r="F41" s="27">
        <v>1</v>
      </c>
      <c r="G41" s="27" t="s">
        <v>245</v>
      </c>
      <c r="H41" s="27" t="s">
        <v>247</v>
      </c>
      <c r="I41" s="11" t="s">
        <v>200</v>
      </c>
    </row>
    <row r="42" spans="1:9" x14ac:dyDescent="0.25">
      <c r="A42" s="32" t="s">
        <v>898</v>
      </c>
      <c r="B42" s="27" t="s">
        <v>121</v>
      </c>
      <c r="C42" s="27">
        <f t="shared" si="0"/>
        <v>66</v>
      </c>
      <c r="D42" s="27" t="s">
        <v>194</v>
      </c>
      <c r="E42" s="27">
        <v>42011</v>
      </c>
      <c r="F42" s="27">
        <v>1</v>
      </c>
      <c r="G42" s="27" t="s">
        <v>245</v>
      </c>
      <c r="H42" s="27">
        <v>0.01</v>
      </c>
      <c r="I42" s="11" t="s">
        <v>203</v>
      </c>
    </row>
    <row r="43" spans="1:9" x14ac:dyDescent="0.25">
      <c r="A43" s="31" t="s">
        <v>899</v>
      </c>
      <c r="B43" s="7" t="s">
        <v>121</v>
      </c>
      <c r="C43" s="7">
        <f t="shared" si="0"/>
        <v>67</v>
      </c>
      <c r="D43" s="7" t="s">
        <v>194</v>
      </c>
      <c r="E43" s="7">
        <v>42020</v>
      </c>
      <c r="F43" s="7">
        <v>1</v>
      </c>
      <c r="G43" s="7" t="s">
        <v>245</v>
      </c>
      <c r="H43" s="7" t="s">
        <v>251</v>
      </c>
      <c r="I43" s="16" t="s">
        <v>204</v>
      </c>
    </row>
    <row r="44" spans="1:9" x14ac:dyDescent="0.25">
      <c r="A44" s="31" t="s">
        <v>900</v>
      </c>
      <c r="B44" s="7" t="s">
        <v>121</v>
      </c>
      <c r="C44" s="7">
        <f t="shared" si="0"/>
        <v>68</v>
      </c>
      <c r="D44" s="7" t="s">
        <v>194</v>
      </c>
      <c r="E44" s="7">
        <v>42021</v>
      </c>
      <c r="F44" s="7">
        <v>1</v>
      </c>
      <c r="G44" s="7" t="s">
        <v>245</v>
      </c>
      <c r="H44" s="7" t="s">
        <v>251</v>
      </c>
      <c r="I44" s="16" t="s">
        <v>205</v>
      </c>
    </row>
    <row r="45" spans="1:9" x14ac:dyDescent="0.25">
      <c r="A45" s="32" t="s">
        <v>901</v>
      </c>
      <c r="B45" s="27" t="s">
        <v>121</v>
      </c>
      <c r="C45" s="27">
        <f t="shared" si="0"/>
        <v>69</v>
      </c>
      <c r="D45" s="27" t="s">
        <v>194</v>
      </c>
      <c r="E45" s="27">
        <v>43000</v>
      </c>
      <c r="F45" s="27">
        <v>1</v>
      </c>
      <c r="G45" s="27" t="s">
        <v>245</v>
      </c>
      <c r="H45" s="27" t="s">
        <v>247</v>
      </c>
      <c r="I45" s="11" t="s">
        <v>202</v>
      </c>
    </row>
    <row r="46" spans="1:9" x14ac:dyDescent="0.25">
      <c r="A46" s="31" t="s">
        <v>902</v>
      </c>
      <c r="B46" s="7" t="s">
        <v>121</v>
      </c>
      <c r="C46" s="7">
        <f t="shared" si="0"/>
        <v>70</v>
      </c>
      <c r="D46" s="7" t="s">
        <v>194</v>
      </c>
      <c r="E46" s="7">
        <v>44000</v>
      </c>
      <c r="F46" s="7">
        <v>1</v>
      </c>
      <c r="G46" s="7" t="s">
        <v>245</v>
      </c>
      <c r="H46" s="7" t="s">
        <v>255</v>
      </c>
      <c r="I46" s="16"/>
    </row>
    <row r="47" spans="1:9" x14ac:dyDescent="0.25">
      <c r="A47" s="31" t="s">
        <v>903</v>
      </c>
      <c r="B47" s="7" t="s">
        <v>121</v>
      </c>
      <c r="C47" s="7">
        <f t="shared" si="0"/>
        <v>71</v>
      </c>
      <c r="D47" s="7" t="s">
        <v>194</v>
      </c>
      <c r="E47" s="7">
        <v>44001</v>
      </c>
      <c r="F47" s="7">
        <v>1</v>
      </c>
      <c r="G47" s="7" t="s">
        <v>245</v>
      </c>
      <c r="H47" s="7" t="s">
        <v>255</v>
      </c>
      <c r="I47" s="16"/>
    </row>
    <row r="48" spans="1:9" x14ac:dyDescent="0.25">
      <c r="A48" s="31" t="s">
        <v>904</v>
      </c>
      <c r="B48" s="7" t="s">
        <v>121</v>
      </c>
      <c r="C48" s="7">
        <f t="shared" si="0"/>
        <v>72</v>
      </c>
      <c r="D48" s="7" t="s">
        <v>194</v>
      </c>
      <c r="E48" s="7">
        <v>44002</v>
      </c>
      <c r="F48" s="7">
        <v>1</v>
      </c>
      <c r="G48" s="7" t="s">
        <v>245</v>
      </c>
      <c r="H48" s="7" t="s">
        <v>251</v>
      </c>
      <c r="I48" s="16"/>
    </row>
    <row r="49" spans="1:9" x14ac:dyDescent="0.25">
      <c r="A49" s="31" t="s">
        <v>905</v>
      </c>
      <c r="B49" s="7" t="s">
        <v>121</v>
      </c>
      <c r="C49" s="7">
        <f t="shared" si="0"/>
        <v>73</v>
      </c>
      <c r="D49" s="7" t="s">
        <v>194</v>
      </c>
      <c r="E49" s="7">
        <v>44003</v>
      </c>
      <c r="F49" s="7">
        <v>1</v>
      </c>
      <c r="G49" s="7" t="s">
        <v>245</v>
      </c>
      <c r="H49" s="7" t="s">
        <v>251</v>
      </c>
      <c r="I49" s="16"/>
    </row>
    <row r="50" spans="1:9" x14ac:dyDescent="0.25">
      <c r="B50" s="1"/>
    </row>
    <row r="51" spans="1:9" x14ac:dyDescent="0.25">
      <c r="B51" s="1"/>
    </row>
    <row r="52" spans="1:9" x14ac:dyDescent="0.25">
      <c r="B52" s="1"/>
    </row>
    <row r="53" spans="1:9" x14ac:dyDescent="0.25">
      <c r="B53" s="1"/>
    </row>
    <row r="54" spans="1:9" x14ac:dyDescent="0.25">
      <c r="B5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6F46-B4A9-4770-A5AA-63501C9B5AD4}">
  <dimension ref="A1:AA79"/>
  <sheetViews>
    <sheetView zoomScale="115" zoomScaleNormal="115" workbookViewId="0">
      <selection activeCell="Z57" sqref="Z57"/>
    </sheetView>
  </sheetViews>
  <sheetFormatPr defaultRowHeight="15" x14ac:dyDescent="0.25"/>
  <cols>
    <col min="2" max="2" width="7.42578125" bestFit="1" customWidth="1"/>
    <col min="3" max="3" width="1.5703125" bestFit="1" customWidth="1"/>
    <col min="4" max="4" width="1.7109375" bestFit="1" customWidth="1"/>
    <col min="5" max="5" width="26.42578125" style="55" customWidth="1"/>
    <col min="6" max="6" width="2.28515625" bestFit="1" customWidth="1"/>
    <col min="7" max="7" width="8.140625" style="1" customWidth="1"/>
    <col min="8" max="8" width="1.5703125" style="1" bestFit="1" customWidth="1"/>
    <col min="9" max="9" width="5.28515625" style="1" customWidth="1"/>
    <col min="10" max="10" width="1.5703125" style="1" bestFit="1" customWidth="1"/>
    <col min="11" max="11" width="6.7109375" style="1" bestFit="1" customWidth="1"/>
    <col min="12" max="12" width="1.5703125" style="1" bestFit="1" customWidth="1"/>
    <col min="13" max="13" width="7.85546875" style="1" bestFit="1" customWidth="1"/>
    <col min="14" max="14" width="1.5703125" style="1" bestFit="1" customWidth="1"/>
    <col min="15" max="15" width="7.28515625" style="1" customWidth="1"/>
    <col min="16" max="16" width="6.5703125" style="1" bestFit="1" customWidth="1"/>
    <col min="17" max="17" width="9.85546875" style="1" bestFit="1" customWidth="1"/>
    <col min="18" max="18" width="1.5703125" style="1" bestFit="1" customWidth="1"/>
    <col min="19" max="19" width="6.85546875" style="1" bestFit="1" customWidth="1"/>
    <col min="20" max="20" width="1.5703125" style="1" bestFit="1" customWidth="1"/>
    <col min="21" max="21" width="9.85546875" style="1" bestFit="1" customWidth="1"/>
    <col min="22" max="22" width="2.28515625" style="1" bestFit="1" customWidth="1"/>
    <col min="23" max="23" width="6.42578125" style="1" bestFit="1" customWidth="1"/>
    <col min="24" max="24" width="2.28515625" style="1" bestFit="1" customWidth="1"/>
    <col min="25" max="25" width="1.7109375" style="1" bestFit="1" customWidth="1"/>
    <col min="26" max="26" width="32.7109375" style="55" bestFit="1" customWidth="1"/>
    <col min="27" max="27" width="2.85546875" style="1" bestFit="1" customWidth="1"/>
  </cols>
  <sheetData>
    <row r="1" spans="1:27" x14ac:dyDescent="0.25">
      <c r="A1" s="42" t="s">
        <v>684</v>
      </c>
      <c r="B1" s="41" t="s">
        <v>997</v>
      </c>
      <c r="C1" s="41"/>
      <c r="D1" s="42"/>
      <c r="E1" s="43" t="s">
        <v>962</v>
      </c>
      <c r="F1" s="40"/>
      <c r="G1" s="41" t="s">
        <v>963</v>
      </c>
      <c r="H1" s="41"/>
      <c r="I1" s="41" t="s">
        <v>964</v>
      </c>
      <c r="J1" s="41"/>
      <c r="K1" s="41" t="s">
        <v>965</v>
      </c>
      <c r="L1" s="41"/>
      <c r="M1" s="41" t="s">
        <v>966</v>
      </c>
      <c r="N1" s="41"/>
      <c r="O1" s="41" t="s">
        <v>967</v>
      </c>
      <c r="P1" s="41" t="s">
        <v>968</v>
      </c>
      <c r="Q1" s="41" t="s">
        <v>969</v>
      </c>
      <c r="R1" s="41"/>
      <c r="S1" s="41" t="s">
        <v>970</v>
      </c>
      <c r="T1" s="41"/>
      <c r="U1" s="41" t="s">
        <v>974</v>
      </c>
      <c r="V1" s="41"/>
      <c r="W1" s="41" t="s">
        <v>971</v>
      </c>
      <c r="X1" s="41"/>
      <c r="Y1" s="41"/>
      <c r="Z1" s="43" t="s">
        <v>972</v>
      </c>
      <c r="AA1" s="41" t="s">
        <v>920</v>
      </c>
    </row>
    <row r="2" spans="1:27" x14ac:dyDescent="0.25">
      <c r="A2" s="31" t="s">
        <v>684</v>
      </c>
      <c r="B2" s="7">
        <v>1</v>
      </c>
      <c r="C2" s="7" t="s">
        <v>686</v>
      </c>
      <c r="D2" s="31" t="s">
        <v>685</v>
      </c>
      <c r="E2" s="53" t="s">
        <v>862</v>
      </c>
      <c r="F2" s="7" t="s">
        <v>771</v>
      </c>
      <c r="G2" s="7">
        <v>31000</v>
      </c>
      <c r="H2" s="7" t="s">
        <v>686</v>
      </c>
      <c r="I2" s="7" t="s">
        <v>939</v>
      </c>
      <c r="J2" s="7" t="s">
        <v>686</v>
      </c>
      <c r="K2" s="7">
        <v>10</v>
      </c>
      <c r="L2" s="7" t="s">
        <v>686</v>
      </c>
      <c r="M2" s="7">
        <v>0</v>
      </c>
      <c r="N2" s="7" t="s">
        <v>686</v>
      </c>
      <c r="O2" s="7" t="s">
        <v>784</v>
      </c>
      <c r="P2" s="7" t="s">
        <v>774</v>
      </c>
      <c r="Q2" s="7" t="s">
        <v>776</v>
      </c>
      <c r="R2" s="7" t="s">
        <v>686</v>
      </c>
      <c r="S2" s="7">
        <v>1</v>
      </c>
      <c r="T2" s="7" t="s">
        <v>686</v>
      </c>
      <c r="U2" s="7" t="s">
        <v>1022</v>
      </c>
      <c r="V2" s="7" t="s">
        <v>772</v>
      </c>
      <c r="W2" s="7" t="s">
        <v>777</v>
      </c>
      <c r="X2" s="7" t="s">
        <v>771</v>
      </c>
      <c r="Y2" s="7" t="s">
        <v>685</v>
      </c>
      <c r="Z2" s="53"/>
      <c r="AA2" s="7" t="s">
        <v>761</v>
      </c>
    </row>
    <row r="3" spans="1:27" x14ac:dyDescent="0.25">
      <c r="A3" s="31" t="s">
        <v>684</v>
      </c>
      <c r="B3" s="7">
        <v>2</v>
      </c>
      <c r="C3" s="7" t="s">
        <v>686</v>
      </c>
      <c r="D3" s="31" t="s">
        <v>685</v>
      </c>
      <c r="E3" s="53" t="s">
        <v>862</v>
      </c>
      <c r="F3" s="7" t="s">
        <v>771</v>
      </c>
      <c r="G3" s="7">
        <v>31001</v>
      </c>
      <c r="H3" s="7" t="s">
        <v>686</v>
      </c>
      <c r="I3" s="7" t="s">
        <v>939</v>
      </c>
      <c r="J3" s="7" t="s">
        <v>686</v>
      </c>
      <c r="K3" s="7">
        <v>0</v>
      </c>
      <c r="L3" s="7" t="s">
        <v>686</v>
      </c>
      <c r="M3" s="7">
        <v>1</v>
      </c>
      <c r="N3" s="7" t="s">
        <v>686</v>
      </c>
      <c r="O3" s="7" t="s">
        <v>784</v>
      </c>
      <c r="P3" s="7" t="s">
        <v>774</v>
      </c>
      <c r="Q3" s="7" t="s">
        <v>776</v>
      </c>
      <c r="R3" s="7" t="s">
        <v>686</v>
      </c>
      <c r="S3" s="7">
        <v>1</v>
      </c>
      <c r="T3" s="7" t="s">
        <v>686</v>
      </c>
      <c r="U3" s="7" t="s">
        <v>1022</v>
      </c>
      <c r="V3" s="7" t="s">
        <v>772</v>
      </c>
      <c r="W3" s="7" t="s">
        <v>777</v>
      </c>
      <c r="X3" s="7" t="s">
        <v>771</v>
      </c>
      <c r="Y3" s="7" t="s">
        <v>685</v>
      </c>
      <c r="Z3" s="53"/>
      <c r="AA3" s="7" t="s">
        <v>761</v>
      </c>
    </row>
    <row r="4" spans="1:27" x14ac:dyDescent="0.25">
      <c r="A4" s="31" t="s">
        <v>684</v>
      </c>
      <c r="B4" s="7">
        <v>3</v>
      </c>
      <c r="C4" s="7" t="s">
        <v>686</v>
      </c>
      <c r="D4" s="31" t="s">
        <v>685</v>
      </c>
      <c r="E4" s="53" t="s">
        <v>862</v>
      </c>
      <c r="F4" s="7" t="s">
        <v>771</v>
      </c>
      <c r="G4" s="7">
        <v>31002</v>
      </c>
      <c r="H4" s="7" t="s">
        <v>686</v>
      </c>
      <c r="I4" s="7" t="s">
        <v>939</v>
      </c>
      <c r="J4" s="7" t="s">
        <v>686</v>
      </c>
      <c r="K4" s="7">
        <v>0</v>
      </c>
      <c r="L4" s="7" t="s">
        <v>686</v>
      </c>
      <c r="M4" s="7">
        <v>2</v>
      </c>
      <c r="N4" s="7" t="s">
        <v>686</v>
      </c>
      <c r="O4" s="7" t="s">
        <v>784</v>
      </c>
      <c r="P4" s="7" t="s">
        <v>774</v>
      </c>
      <c r="Q4" s="7" t="s">
        <v>776</v>
      </c>
      <c r="R4" s="7" t="s">
        <v>686</v>
      </c>
      <c r="S4" s="7">
        <v>1</v>
      </c>
      <c r="T4" s="7" t="s">
        <v>686</v>
      </c>
      <c r="U4" s="7" t="s">
        <v>1022</v>
      </c>
      <c r="V4" s="7" t="s">
        <v>772</v>
      </c>
      <c r="W4" s="7" t="s">
        <v>777</v>
      </c>
      <c r="X4" s="7" t="s">
        <v>771</v>
      </c>
      <c r="Y4" s="7" t="s">
        <v>685</v>
      </c>
      <c r="Z4" s="53"/>
      <c r="AA4" s="7" t="s">
        <v>761</v>
      </c>
    </row>
    <row r="5" spans="1:27" x14ac:dyDescent="0.25">
      <c r="A5" s="31" t="s">
        <v>684</v>
      </c>
      <c r="B5" s="7">
        <v>4</v>
      </c>
      <c r="C5" s="7" t="s">
        <v>686</v>
      </c>
      <c r="D5" s="31" t="s">
        <v>685</v>
      </c>
      <c r="E5" s="53" t="s">
        <v>862</v>
      </c>
      <c r="F5" s="7" t="s">
        <v>771</v>
      </c>
      <c r="G5" s="7">
        <v>31003</v>
      </c>
      <c r="H5" s="7" t="s">
        <v>686</v>
      </c>
      <c r="I5" s="7" t="s">
        <v>939</v>
      </c>
      <c r="J5" s="7" t="s">
        <v>686</v>
      </c>
      <c r="K5" s="7">
        <v>0</v>
      </c>
      <c r="L5" s="7" t="s">
        <v>686</v>
      </c>
      <c r="M5" s="7">
        <v>3</v>
      </c>
      <c r="N5" s="7" t="s">
        <v>686</v>
      </c>
      <c r="O5" s="7" t="s">
        <v>784</v>
      </c>
      <c r="P5" s="7" t="s">
        <v>774</v>
      </c>
      <c r="Q5" s="7" t="s">
        <v>776</v>
      </c>
      <c r="R5" s="7" t="s">
        <v>686</v>
      </c>
      <c r="S5" s="7">
        <v>1</v>
      </c>
      <c r="T5" s="7" t="s">
        <v>686</v>
      </c>
      <c r="U5" s="7" t="s">
        <v>1022</v>
      </c>
      <c r="V5" s="7" t="s">
        <v>772</v>
      </c>
      <c r="W5" s="7" t="s">
        <v>777</v>
      </c>
      <c r="X5" s="7" t="s">
        <v>771</v>
      </c>
      <c r="Y5" s="7" t="s">
        <v>685</v>
      </c>
      <c r="Z5" s="53"/>
      <c r="AA5" s="7" t="s">
        <v>761</v>
      </c>
    </row>
    <row r="6" spans="1:27" x14ac:dyDescent="0.25">
      <c r="A6" s="31" t="s">
        <v>684</v>
      </c>
      <c r="B6" s="7">
        <v>5</v>
      </c>
      <c r="C6" s="7" t="s">
        <v>686</v>
      </c>
      <c r="D6" s="31" t="s">
        <v>685</v>
      </c>
      <c r="E6" s="53" t="s">
        <v>862</v>
      </c>
      <c r="F6" s="7" t="s">
        <v>771</v>
      </c>
      <c r="G6" s="7">
        <v>31004</v>
      </c>
      <c r="H6" s="7" t="s">
        <v>686</v>
      </c>
      <c r="I6" s="7" t="s">
        <v>939</v>
      </c>
      <c r="J6" s="7" t="s">
        <v>686</v>
      </c>
      <c r="K6" s="7">
        <v>0</v>
      </c>
      <c r="L6" s="7" t="s">
        <v>686</v>
      </c>
      <c r="M6" s="7">
        <v>4</v>
      </c>
      <c r="N6" s="7" t="s">
        <v>686</v>
      </c>
      <c r="O6" s="7" t="s">
        <v>784</v>
      </c>
      <c r="P6" s="7" t="s">
        <v>774</v>
      </c>
      <c r="Q6" s="7" t="s">
        <v>776</v>
      </c>
      <c r="R6" s="7" t="s">
        <v>686</v>
      </c>
      <c r="S6" s="7">
        <v>1</v>
      </c>
      <c r="T6" s="7" t="s">
        <v>686</v>
      </c>
      <c r="U6" s="7" t="s">
        <v>1022</v>
      </c>
      <c r="V6" s="7" t="s">
        <v>772</v>
      </c>
      <c r="W6" s="7" t="s">
        <v>777</v>
      </c>
      <c r="X6" s="7" t="s">
        <v>771</v>
      </c>
      <c r="Y6" s="7" t="s">
        <v>685</v>
      </c>
      <c r="Z6" s="53"/>
      <c r="AA6" s="7" t="s">
        <v>761</v>
      </c>
    </row>
    <row r="7" spans="1:27" x14ac:dyDescent="0.25">
      <c r="A7" s="31" t="s">
        <v>684</v>
      </c>
      <c r="B7" s="7">
        <v>6</v>
      </c>
      <c r="C7" s="7" t="s">
        <v>686</v>
      </c>
      <c r="D7" s="31" t="s">
        <v>685</v>
      </c>
      <c r="E7" s="53" t="s">
        <v>862</v>
      </c>
      <c r="F7" s="7" t="s">
        <v>771</v>
      </c>
      <c r="G7" s="7">
        <v>31005</v>
      </c>
      <c r="H7" s="7" t="s">
        <v>686</v>
      </c>
      <c r="I7" s="7" t="s">
        <v>939</v>
      </c>
      <c r="J7" s="7" t="s">
        <v>686</v>
      </c>
      <c r="K7" s="7">
        <v>0</v>
      </c>
      <c r="L7" s="7" t="s">
        <v>686</v>
      </c>
      <c r="M7" s="7">
        <v>5</v>
      </c>
      <c r="N7" s="7" t="s">
        <v>686</v>
      </c>
      <c r="O7" s="7" t="s">
        <v>784</v>
      </c>
      <c r="P7" s="7" t="s">
        <v>774</v>
      </c>
      <c r="Q7" s="7" t="s">
        <v>776</v>
      </c>
      <c r="R7" s="7" t="s">
        <v>686</v>
      </c>
      <c r="S7" s="7">
        <v>1</v>
      </c>
      <c r="T7" s="7" t="s">
        <v>686</v>
      </c>
      <c r="U7" s="7" t="s">
        <v>1022</v>
      </c>
      <c r="V7" s="7" t="s">
        <v>772</v>
      </c>
      <c r="W7" s="7" t="s">
        <v>777</v>
      </c>
      <c r="X7" s="7" t="s">
        <v>771</v>
      </c>
      <c r="Y7" s="7" t="s">
        <v>685</v>
      </c>
      <c r="Z7" s="53"/>
      <c r="AA7" s="7" t="s">
        <v>761</v>
      </c>
    </row>
    <row r="8" spans="1:27" x14ac:dyDescent="0.25">
      <c r="A8" s="31" t="s">
        <v>684</v>
      </c>
      <c r="B8" s="7">
        <v>7</v>
      </c>
      <c r="C8" s="7" t="s">
        <v>686</v>
      </c>
      <c r="D8" s="31" t="s">
        <v>685</v>
      </c>
      <c r="E8" s="53" t="s">
        <v>862</v>
      </c>
      <c r="F8" s="7" t="s">
        <v>771</v>
      </c>
      <c r="G8" s="7">
        <v>31006</v>
      </c>
      <c r="H8" s="7" t="s">
        <v>686</v>
      </c>
      <c r="I8" s="7" t="s">
        <v>939</v>
      </c>
      <c r="J8" s="7" t="s">
        <v>686</v>
      </c>
      <c r="K8" s="7">
        <v>0</v>
      </c>
      <c r="L8" s="7" t="s">
        <v>686</v>
      </c>
      <c r="M8" s="7">
        <v>6</v>
      </c>
      <c r="N8" s="7" t="s">
        <v>686</v>
      </c>
      <c r="O8" s="7" t="s">
        <v>784</v>
      </c>
      <c r="P8" s="7" t="s">
        <v>774</v>
      </c>
      <c r="Q8" s="7" t="s">
        <v>776</v>
      </c>
      <c r="R8" s="7" t="s">
        <v>686</v>
      </c>
      <c r="S8" s="7">
        <v>1</v>
      </c>
      <c r="T8" s="7" t="s">
        <v>686</v>
      </c>
      <c r="U8" s="7" t="s">
        <v>1022</v>
      </c>
      <c r="V8" s="7" t="s">
        <v>772</v>
      </c>
      <c r="W8" s="7" t="s">
        <v>777</v>
      </c>
      <c r="X8" s="7" t="s">
        <v>771</v>
      </c>
      <c r="Y8" s="7" t="s">
        <v>685</v>
      </c>
      <c r="Z8" s="53"/>
      <c r="AA8" s="7" t="s">
        <v>761</v>
      </c>
    </row>
    <row r="9" spans="1:27" x14ac:dyDescent="0.25">
      <c r="A9" s="31" t="s">
        <v>684</v>
      </c>
      <c r="B9" s="7">
        <v>8</v>
      </c>
      <c r="C9" s="7" t="s">
        <v>686</v>
      </c>
      <c r="D9" s="31" t="s">
        <v>685</v>
      </c>
      <c r="E9" s="53" t="s">
        <v>862</v>
      </c>
      <c r="F9" s="7" t="s">
        <v>771</v>
      </c>
      <c r="G9" s="7">
        <v>31007</v>
      </c>
      <c r="H9" s="7" t="s">
        <v>686</v>
      </c>
      <c r="I9" s="7" t="s">
        <v>939</v>
      </c>
      <c r="J9" s="7" t="s">
        <v>686</v>
      </c>
      <c r="K9" s="7">
        <v>0</v>
      </c>
      <c r="L9" s="7" t="s">
        <v>686</v>
      </c>
      <c r="M9" s="7">
        <v>7</v>
      </c>
      <c r="N9" s="7" t="s">
        <v>686</v>
      </c>
      <c r="O9" s="7" t="s">
        <v>784</v>
      </c>
      <c r="P9" s="7" t="s">
        <v>774</v>
      </c>
      <c r="Q9" s="7" t="s">
        <v>776</v>
      </c>
      <c r="R9" s="7" t="s">
        <v>686</v>
      </c>
      <c r="S9" s="7">
        <v>1</v>
      </c>
      <c r="T9" s="7" t="s">
        <v>686</v>
      </c>
      <c r="U9" s="7" t="s">
        <v>1022</v>
      </c>
      <c r="V9" s="7" t="s">
        <v>772</v>
      </c>
      <c r="W9" s="7" t="s">
        <v>777</v>
      </c>
      <c r="X9" s="7" t="s">
        <v>771</v>
      </c>
      <c r="Y9" s="7" t="s">
        <v>685</v>
      </c>
      <c r="Z9" s="53"/>
      <c r="AA9" s="7" t="s">
        <v>761</v>
      </c>
    </row>
    <row r="10" spans="1:27" x14ac:dyDescent="0.25">
      <c r="A10" s="31" t="s">
        <v>684</v>
      </c>
      <c r="B10" s="7">
        <v>9</v>
      </c>
      <c r="C10" s="7" t="s">
        <v>686</v>
      </c>
      <c r="D10" s="31" t="s">
        <v>685</v>
      </c>
      <c r="E10" s="53" t="s">
        <v>862</v>
      </c>
      <c r="F10" s="7" t="s">
        <v>771</v>
      </c>
      <c r="G10" s="7">
        <v>31008</v>
      </c>
      <c r="H10" s="7" t="s">
        <v>686</v>
      </c>
      <c r="I10" s="7" t="s">
        <v>939</v>
      </c>
      <c r="J10" s="7" t="s">
        <v>686</v>
      </c>
      <c r="K10" s="7">
        <v>0</v>
      </c>
      <c r="L10" s="7" t="s">
        <v>686</v>
      </c>
      <c r="M10" s="7">
        <v>8</v>
      </c>
      <c r="N10" s="7" t="s">
        <v>686</v>
      </c>
      <c r="O10" s="7" t="s">
        <v>784</v>
      </c>
      <c r="P10" s="7" t="s">
        <v>774</v>
      </c>
      <c r="Q10" s="7" t="s">
        <v>776</v>
      </c>
      <c r="R10" s="7" t="s">
        <v>686</v>
      </c>
      <c r="S10" s="7">
        <v>1</v>
      </c>
      <c r="T10" s="7" t="s">
        <v>686</v>
      </c>
      <c r="U10" s="7" t="s">
        <v>1022</v>
      </c>
      <c r="V10" s="7" t="s">
        <v>772</v>
      </c>
      <c r="W10" s="7" t="s">
        <v>777</v>
      </c>
      <c r="X10" s="7" t="s">
        <v>771</v>
      </c>
      <c r="Y10" s="7" t="s">
        <v>685</v>
      </c>
      <c r="Z10" s="53"/>
      <c r="AA10" s="7" t="s">
        <v>761</v>
      </c>
    </row>
    <row r="11" spans="1:27" x14ac:dyDescent="0.25">
      <c r="A11" s="31" t="s">
        <v>684</v>
      </c>
      <c r="B11" s="7">
        <v>10</v>
      </c>
      <c r="C11" s="7" t="s">
        <v>686</v>
      </c>
      <c r="D11" s="31" t="s">
        <v>685</v>
      </c>
      <c r="E11" s="53" t="s">
        <v>862</v>
      </c>
      <c r="F11" s="7" t="s">
        <v>771</v>
      </c>
      <c r="G11" s="7">
        <v>31009</v>
      </c>
      <c r="H11" s="7" t="s">
        <v>686</v>
      </c>
      <c r="I11" s="7" t="s">
        <v>939</v>
      </c>
      <c r="J11" s="7" t="s">
        <v>686</v>
      </c>
      <c r="K11" s="7">
        <v>0</v>
      </c>
      <c r="L11" s="7" t="s">
        <v>686</v>
      </c>
      <c r="M11" s="7">
        <v>9</v>
      </c>
      <c r="N11" s="7" t="s">
        <v>686</v>
      </c>
      <c r="O11" s="7" t="s">
        <v>784</v>
      </c>
      <c r="P11" s="7" t="s">
        <v>774</v>
      </c>
      <c r="Q11" s="7" t="s">
        <v>776</v>
      </c>
      <c r="R11" s="7" t="s">
        <v>686</v>
      </c>
      <c r="S11" s="7">
        <v>1</v>
      </c>
      <c r="T11" s="7" t="s">
        <v>686</v>
      </c>
      <c r="U11" s="7" t="s">
        <v>1022</v>
      </c>
      <c r="V11" s="7" t="s">
        <v>772</v>
      </c>
      <c r="W11" s="7" t="s">
        <v>777</v>
      </c>
      <c r="X11" s="7" t="s">
        <v>771</v>
      </c>
      <c r="Y11" s="7" t="s">
        <v>685</v>
      </c>
      <c r="Z11" s="53"/>
      <c r="AA11" s="7" t="s">
        <v>761</v>
      </c>
    </row>
    <row r="12" spans="1:27" x14ac:dyDescent="0.25">
      <c r="A12" s="32" t="s">
        <v>684</v>
      </c>
      <c r="B12" s="27">
        <v>11</v>
      </c>
      <c r="C12" s="27" t="s">
        <v>686</v>
      </c>
      <c r="D12" s="32" t="s">
        <v>685</v>
      </c>
      <c r="E12" s="54" t="s">
        <v>863</v>
      </c>
      <c r="F12" s="27" t="s">
        <v>771</v>
      </c>
      <c r="G12" s="27">
        <v>31100</v>
      </c>
      <c r="H12" s="27" t="s">
        <v>686</v>
      </c>
      <c r="I12" s="27" t="s">
        <v>943</v>
      </c>
      <c r="J12" s="27" t="s">
        <v>686</v>
      </c>
      <c r="K12" s="27">
        <v>1</v>
      </c>
      <c r="L12" s="27" t="s">
        <v>686</v>
      </c>
      <c r="M12" s="27">
        <v>0</v>
      </c>
      <c r="N12" s="27" t="s">
        <v>686</v>
      </c>
      <c r="O12" s="27" t="s">
        <v>784</v>
      </c>
      <c r="P12" s="27" t="s">
        <v>773</v>
      </c>
      <c r="Q12" s="27" t="s">
        <v>776</v>
      </c>
      <c r="R12" s="27" t="s">
        <v>686</v>
      </c>
      <c r="S12" s="27" t="s">
        <v>246</v>
      </c>
      <c r="T12" s="27" t="s">
        <v>686</v>
      </c>
      <c r="U12" s="27" t="s">
        <v>1022</v>
      </c>
      <c r="V12" s="27" t="s">
        <v>772</v>
      </c>
      <c r="W12" s="27" t="s">
        <v>777</v>
      </c>
      <c r="X12" s="27" t="s">
        <v>771</v>
      </c>
      <c r="Y12" s="27" t="s">
        <v>685</v>
      </c>
      <c r="Z12" s="54"/>
      <c r="AA12" s="27" t="s">
        <v>761</v>
      </c>
    </row>
    <row r="13" spans="1:27" x14ac:dyDescent="0.25">
      <c r="A13" s="31" t="s">
        <v>684</v>
      </c>
      <c r="B13" s="7">
        <v>12</v>
      </c>
      <c r="C13" s="7" t="s">
        <v>686</v>
      </c>
      <c r="D13" s="31" t="s">
        <v>685</v>
      </c>
      <c r="E13" s="53" t="s">
        <v>864</v>
      </c>
      <c r="F13" s="7" t="s">
        <v>771</v>
      </c>
      <c r="G13" s="7">
        <v>31200</v>
      </c>
      <c r="H13" s="7" t="s">
        <v>686</v>
      </c>
      <c r="I13" s="7" t="s">
        <v>940</v>
      </c>
      <c r="J13" s="7" t="s">
        <v>686</v>
      </c>
      <c r="K13" s="7">
        <v>10</v>
      </c>
      <c r="L13" s="7" t="s">
        <v>686</v>
      </c>
      <c r="M13" s="7">
        <v>0</v>
      </c>
      <c r="N13" s="7" t="s">
        <v>686</v>
      </c>
      <c r="O13" s="7" t="s">
        <v>784</v>
      </c>
      <c r="P13" s="7" t="s">
        <v>774</v>
      </c>
      <c r="Q13" s="7" t="s">
        <v>776</v>
      </c>
      <c r="R13" s="7" t="s">
        <v>686</v>
      </c>
      <c r="S13" s="7">
        <v>1</v>
      </c>
      <c r="T13" s="7" t="s">
        <v>686</v>
      </c>
      <c r="U13" s="7" t="s">
        <v>1022</v>
      </c>
      <c r="V13" s="7" t="s">
        <v>772</v>
      </c>
      <c r="W13" s="7" t="s">
        <v>777</v>
      </c>
      <c r="X13" s="7" t="s">
        <v>771</v>
      </c>
      <c r="Y13" s="7" t="s">
        <v>685</v>
      </c>
      <c r="Z13" s="53"/>
      <c r="AA13" s="7" t="s">
        <v>761</v>
      </c>
    </row>
    <row r="14" spans="1:27" x14ac:dyDescent="0.25">
      <c r="A14" s="31" t="s">
        <v>684</v>
      </c>
      <c r="B14" s="7">
        <v>13</v>
      </c>
      <c r="C14" s="7" t="s">
        <v>686</v>
      </c>
      <c r="D14" s="31" t="s">
        <v>685</v>
      </c>
      <c r="E14" s="53" t="s">
        <v>864</v>
      </c>
      <c r="F14" s="7" t="s">
        <v>771</v>
      </c>
      <c r="G14" s="7">
        <v>31201</v>
      </c>
      <c r="H14" s="7" t="s">
        <v>686</v>
      </c>
      <c r="I14" s="7" t="s">
        <v>940</v>
      </c>
      <c r="J14" s="7" t="s">
        <v>686</v>
      </c>
      <c r="K14" s="7">
        <v>0</v>
      </c>
      <c r="L14" s="7" t="s">
        <v>686</v>
      </c>
      <c r="M14" s="7">
        <v>1</v>
      </c>
      <c r="N14" s="7" t="s">
        <v>686</v>
      </c>
      <c r="O14" s="7" t="s">
        <v>784</v>
      </c>
      <c r="P14" s="7" t="s">
        <v>774</v>
      </c>
      <c r="Q14" s="7" t="s">
        <v>776</v>
      </c>
      <c r="R14" s="7" t="s">
        <v>686</v>
      </c>
      <c r="S14" s="7">
        <v>1</v>
      </c>
      <c r="T14" s="7" t="s">
        <v>686</v>
      </c>
      <c r="U14" s="7" t="s">
        <v>1022</v>
      </c>
      <c r="V14" s="7" t="s">
        <v>772</v>
      </c>
      <c r="W14" s="7" t="s">
        <v>777</v>
      </c>
      <c r="X14" s="7" t="s">
        <v>771</v>
      </c>
      <c r="Y14" s="7" t="s">
        <v>685</v>
      </c>
      <c r="Z14" s="53"/>
      <c r="AA14" s="7" t="s">
        <v>761</v>
      </c>
    </row>
    <row r="15" spans="1:27" x14ac:dyDescent="0.25">
      <c r="A15" s="31" t="s">
        <v>684</v>
      </c>
      <c r="B15" s="7">
        <v>14</v>
      </c>
      <c r="C15" s="7" t="s">
        <v>686</v>
      </c>
      <c r="D15" s="31" t="s">
        <v>685</v>
      </c>
      <c r="E15" s="53" t="s">
        <v>864</v>
      </c>
      <c r="F15" s="7" t="s">
        <v>771</v>
      </c>
      <c r="G15" s="7">
        <v>31202</v>
      </c>
      <c r="H15" s="7" t="s">
        <v>686</v>
      </c>
      <c r="I15" s="7" t="s">
        <v>940</v>
      </c>
      <c r="J15" s="7" t="s">
        <v>686</v>
      </c>
      <c r="K15" s="7">
        <v>0</v>
      </c>
      <c r="L15" s="7" t="s">
        <v>686</v>
      </c>
      <c r="M15" s="7">
        <v>2</v>
      </c>
      <c r="N15" s="7" t="s">
        <v>686</v>
      </c>
      <c r="O15" s="7" t="s">
        <v>784</v>
      </c>
      <c r="P15" s="7" t="s">
        <v>774</v>
      </c>
      <c r="Q15" s="7" t="s">
        <v>776</v>
      </c>
      <c r="R15" s="7" t="s">
        <v>686</v>
      </c>
      <c r="S15" s="7">
        <v>1</v>
      </c>
      <c r="T15" s="7" t="s">
        <v>686</v>
      </c>
      <c r="U15" s="7" t="s">
        <v>1022</v>
      </c>
      <c r="V15" s="7" t="s">
        <v>772</v>
      </c>
      <c r="W15" s="7" t="s">
        <v>777</v>
      </c>
      <c r="X15" s="7" t="s">
        <v>771</v>
      </c>
      <c r="Y15" s="7" t="s">
        <v>685</v>
      </c>
      <c r="Z15" s="53"/>
      <c r="AA15" s="7" t="s">
        <v>761</v>
      </c>
    </row>
    <row r="16" spans="1:27" x14ac:dyDescent="0.25">
      <c r="A16" s="31" t="s">
        <v>684</v>
      </c>
      <c r="B16" s="7">
        <v>15</v>
      </c>
      <c r="C16" s="7" t="s">
        <v>686</v>
      </c>
      <c r="D16" s="31" t="s">
        <v>685</v>
      </c>
      <c r="E16" s="53" t="s">
        <v>864</v>
      </c>
      <c r="F16" s="7" t="s">
        <v>771</v>
      </c>
      <c r="G16" s="7">
        <v>31203</v>
      </c>
      <c r="H16" s="7" t="s">
        <v>686</v>
      </c>
      <c r="I16" s="7" t="s">
        <v>940</v>
      </c>
      <c r="J16" s="7" t="s">
        <v>686</v>
      </c>
      <c r="K16" s="7">
        <v>0</v>
      </c>
      <c r="L16" s="7" t="s">
        <v>686</v>
      </c>
      <c r="M16" s="7">
        <v>3</v>
      </c>
      <c r="N16" s="7" t="s">
        <v>686</v>
      </c>
      <c r="O16" s="7" t="s">
        <v>784</v>
      </c>
      <c r="P16" s="7" t="s">
        <v>774</v>
      </c>
      <c r="Q16" s="7" t="s">
        <v>776</v>
      </c>
      <c r="R16" s="7" t="s">
        <v>686</v>
      </c>
      <c r="S16" s="7">
        <v>1</v>
      </c>
      <c r="T16" s="7" t="s">
        <v>686</v>
      </c>
      <c r="U16" s="7" t="s">
        <v>1022</v>
      </c>
      <c r="V16" s="7" t="s">
        <v>772</v>
      </c>
      <c r="W16" s="7" t="s">
        <v>777</v>
      </c>
      <c r="X16" s="7" t="s">
        <v>771</v>
      </c>
      <c r="Y16" s="7" t="s">
        <v>685</v>
      </c>
      <c r="Z16" s="53"/>
      <c r="AA16" s="7" t="s">
        <v>761</v>
      </c>
    </row>
    <row r="17" spans="1:27" x14ac:dyDescent="0.25">
      <c r="A17" s="31" t="s">
        <v>684</v>
      </c>
      <c r="B17" s="7">
        <v>16</v>
      </c>
      <c r="C17" s="7" t="s">
        <v>686</v>
      </c>
      <c r="D17" s="31" t="s">
        <v>685</v>
      </c>
      <c r="E17" s="53" t="s">
        <v>864</v>
      </c>
      <c r="F17" s="7" t="s">
        <v>771</v>
      </c>
      <c r="G17" s="7">
        <v>31204</v>
      </c>
      <c r="H17" s="7" t="s">
        <v>686</v>
      </c>
      <c r="I17" s="7" t="s">
        <v>940</v>
      </c>
      <c r="J17" s="7" t="s">
        <v>686</v>
      </c>
      <c r="K17" s="7">
        <v>0</v>
      </c>
      <c r="L17" s="7" t="s">
        <v>686</v>
      </c>
      <c r="M17" s="7">
        <v>4</v>
      </c>
      <c r="N17" s="7" t="s">
        <v>686</v>
      </c>
      <c r="O17" s="7" t="s">
        <v>784</v>
      </c>
      <c r="P17" s="7" t="s">
        <v>774</v>
      </c>
      <c r="Q17" s="7" t="s">
        <v>776</v>
      </c>
      <c r="R17" s="7" t="s">
        <v>686</v>
      </c>
      <c r="S17" s="7">
        <v>1</v>
      </c>
      <c r="T17" s="7" t="s">
        <v>686</v>
      </c>
      <c r="U17" s="7" t="s">
        <v>1022</v>
      </c>
      <c r="V17" s="7" t="s">
        <v>772</v>
      </c>
      <c r="W17" s="7" t="s">
        <v>777</v>
      </c>
      <c r="X17" s="7" t="s">
        <v>771</v>
      </c>
      <c r="Y17" s="7" t="s">
        <v>685</v>
      </c>
      <c r="Z17" s="53"/>
      <c r="AA17" s="7" t="s">
        <v>761</v>
      </c>
    </row>
    <row r="18" spans="1:27" x14ac:dyDescent="0.25">
      <c r="A18" s="31" t="s">
        <v>684</v>
      </c>
      <c r="B18" s="7">
        <v>17</v>
      </c>
      <c r="C18" s="7" t="s">
        <v>686</v>
      </c>
      <c r="D18" s="31" t="s">
        <v>685</v>
      </c>
      <c r="E18" s="53" t="s">
        <v>864</v>
      </c>
      <c r="F18" s="7" t="s">
        <v>771</v>
      </c>
      <c r="G18" s="7">
        <v>31205</v>
      </c>
      <c r="H18" s="7" t="s">
        <v>686</v>
      </c>
      <c r="I18" s="7" t="s">
        <v>940</v>
      </c>
      <c r="J18" s="7" t="s">
        <v>686</v>
      </c>
      <c r="K18" s="7">
        <v>0</v>
      </c>
      <c r="L18" s="7" t="s">
        <v>686</v>
      </c>
      <c r="M18" s="7">
        <v>5</v>
      </c>
      <c r="N18" s="7" t="s">
        <v>686</v>
      </c>
      <c r="O18" s="7" t="s">
        <v>784</v>
      </c>
      <c r="P18" s="7" t="s">
        <v>774</v>
      </c>
      <c r="Q18" s="7" t="s">
        <v>776</v>
      </c>
      <c r="R18" s="7" t="s">
        <v>686</v>
      </c>
      <c r="S18" s="7">
        <v>1</v>
      </c>
      <c r="T18" s="7" t="s">
        <v>686</v>
      </c>
      <c r="U18" s="7" t="s">
        <v>1022</v>
      </c>
      <c r="V18" s="7" t="s">
        <v>772</v>
      </c>
      <c r="W18" s="7" t="s">
        <v>777</v>
      </c>
      <c r="X18" s="7" t="s">
        <v>771</v>
      </c>
      <c r="Y18" s="7" t="s">
        <v>685</v>
      </c>
      <c r="Z18" s="53"/>
      <c r="AA18" s="7" t="s">
        <v>761</v>
      </c>
    </row>
    <row r="19" spans="1:27" x14ac:dyDescent="0.25">
      <c r="A19" s="31" t="s">
        <v>684</v>
      </c>
      <c r="B19" s="7">
        <v>18</v>
      </c>
      <c r="C19" s="7" t="s">
        <v>686</v>
      </c>
      <c r="D19" s="31" t="s">
        <v>685</v>
      </c>
      <c r="E19" s="53" t="s">
        <v>864</v>
      </c>
      <c r="F19" s="7" t="s">
        <v>771</v>
      </c>
      <c r="G19" s="7">
        <v>31206</v>
      </c>
      <c r="H19" s="7" t="s">
        <v>686</v>
      </c>
      <c r="I19" s="7" t="s">
        <v>940</v>
      </c>
      <c r="J19" s="7" t="s">
        <v>686</v>
      </c>
      <c r="K19" s="7">
        <v>0</v>
      </c>
      <c r="L19" s="7" t="s">
        <v>686</v>
      </c>
      <c r="M19" s="7">
        <v>6</v>
      </c>
      <c r="N19" s="7" t="s">
        <v>686</v>
      </c>
      <c r="O19" s="7" t="s">
        <v>784</v>
      </c>
      <c r="P19" s="7" t="s">
        <v>774</v>
      </c>
      <c r="Q19" s="7" t="s">
        <v>776</v>
      </c>
      <c r="R19" s="7" t="s">
        <v>686</v>
      </c>
      <c r="S19" s="7">
        <v>1</v>
      </c>
      <c r="T19" s="7" t="s">
        <v>686</v>
      </c>
      <c r="U19" s="7" t="s">
        <v>1022</v>
      </c>
      <c r="V19" s="7" t="s">
        <v>772</v>
      </c>
      <c r="W19" s="7" t="s">
        <v>777</v>
      </c>
      <c r="X19" s="7" t="s">
        <v>771</v>
      </c>
      <c r="Y19" s="7" t="s">
        <v>685</v>
      </c>
      <c r="Z19" s="53"/>
      <c r="AA19" s="7" t="s">
        <v>761</v>
      </c>
    </row>
    <row r="20" spans="1:27" x14ac:dyDescent="0.25">
      <c r="A20" s="31" t="s">
        <v>684</v>
      </c>
      <c r="B20" s="7">
        <v>19</v>
      </c>
      <c r="C20" s="7" t="s">
        <v>686</v>
      </c>
      <c r="D20" s="31" t="s">
        <v>685</v>
      </c>
      <c r="E20" s="53" t="s">
        <v>864</v>
      </c>
      <c r="F20" s="7" t="s">
        <v>771</v>
      </c>
      <c r="G20" s="7">
        <v>31207</v>
      </c>
      <c r="H20" s="7" t="s">
        <v>686</v>
      </c>
      <c r="I20" s="7" t="s">
        <v>940</v>
      </c>
      <c r="J20" s="7" t="s">
        <v>686</v>
      </c>
      <c r="K20" s="7">
        <v>0</v>
      </c>
      <c r="L20" s="7" t="s">
        <v>686</v>
      </c>
      <c r="M20" s="7">
        <v>7</v>
      </c>
      <c r="N20" s="7" t="s">
        <v>686</v>
      </c>
      <c r="O20" s="7" t="s">
        <v>784</v>
      </c>
      <c r="P20" s="7" t="s">
        <v>774</v>
      </c>
      <c r="Q20" s="7" t="s">
        <v>776</v>
      </c>
      <c r="R20" s="7" t="s">
        <v>686</v>
      </c>
      <c r="S20" s="7">
        <v>1</v>
      </c>
      <c r="T20" s="7" t="s">
        <v>686</v>
      </c>
      <c r="U20" s="7" t="s">
        <v>1022</v>
      </c>
      <c r="V20" s="7" t="s">
        <v>772</v>
      </c>
      <c r="W20" s="7" t="s">
        <v>777</v>
      </c>
      <c r="X20" s="7" t="s">
        <v>771</v>
      </c>
      <c r="Y20" s="7" t="s">
        <v>685</v>
      </c>
      <c r="Z20" s="53"/>
      <c r="AA20" s="7" t="s">
        <v>761</v>
      </c>
    </row>
    <row r="21" spans="1:27" x14ac:dyDescent="0.25">
      <c r="A21" s="31" t="s">
        <v>684</v>
      </c>
      <c r="B21" s="7">
        <v>20</v>
      </c>
      <c r="C21" s="7" t="s">
        <v>686</v>
      </c>
      <c r="D21" s="31" t="s">
        <v>685</v>
      </c>
      <c r="E21" s="53" t="s">
        <v>864</v>
      </c>
      <c r="F21" s="7" t="s">
        <v>771</v>
      </c>
      <c r="G21" s="7">
        <v>31208</v>
      </c>
      <c r="H21" s="7" t="s">
        <v>686</v>
      </c>
      <c r="I21" s="7" t="s">
        <v>940</v>
      </c>
      <c r="J21" s="7" t="s">
        <v>686</v>
      </c>
      <c r="K21" s="7">
        <v>0</v>
      </c>
      <c r="L21" s="7" t="s">
        <v>686</v>
      </c>
      <c r="M21" s="7">
        <v>8</v>
      </c>
      <c r="N21" s="7" t="s">
        <v>686</v>
      </c>
      <c r="O21" s="7" t="s">
        <v>784</v>
      </c>
      <c r="P21" s="7" t="s">
        <v>774</v>
      </c>
      <c r="Q21" s="7" t="s">
        <v>776</v>
      </c>
      <c r="R21" s="7" t="s">
        <v>686</v>
      </c>
      <c r="S21" s="7">
        <v>1</v>
      </c>
      <c r="T21" s="7" t="s">
        <v>686</v>
      </c>
      <c r="U21" s="7" t="s">
        <v>1022</v>
      </c>
      <c r="V21" s="7" t="s">
        <v>772</v>
      </c>
      <c r="W21" s="7" t="s">
        <v>777</v>
      </c>
      <c r="X21" s="7" t="s">
        <v>771</v>
      </c>
      <c r="Y21" s="7" t="s">
        <v>685</v>
      </c>
      <c r="Z21" s="53"/>
      <c r="AA21" s="7" t="s">
        <v>761</v>
      </c>
    </row>
    <row r="22" spans="1:27" x14ac:dyDescent="0.25">
      <c r="A22" s="31" t="s">
        <v>684</v>
      </c>
      <c r="B22" s="7">
        <v>21</v>
      </c>
      <c r="C22" s="7" t="s">
        <v>686</v>
      </c>
      <c r="D22" s="31" t="s">
        <v>685</v>
      </c>
      <c r="E22" s="53" t="s">
        <v>864</v>
      </c>
      <c r="F22" s="7" t="s">
        <v>771</v>
      </c>
      <c r="G22" s="7">
        <v>31209</v>
      </c>
      <c r="H22" s="7" t="s">
        <v>686</v>
      </c>
      <c r="I22" s="7" t="s">
        <v>940</v>
      </c>
      <c r="J22" s="7" t="s">
        <v>686</v>
      </c>
      <c r="K22" s="7">
        <v>0</v>
      </c>
      <c r="L22" s="7" t="s">
        <v>686</v>
      </c>
      <c r="M22" s="7">
        <v>9</v>
      </c>
      <c r="N22" s="7" t="s">
        <v>686</v>
      </c>
      <c r="O22" s="7" t="s">
        <v>784</v>
      </c>
      <c r="P22" s="7" t="s">
        <v>774</v>
      </c>
      <c r="Q22" s="7" t="s">
        <v>776</v>
      </c>
      <c r="R22" s="7" t="s">
        <v>686</v>
      </c>
      <c r="S22" s="7">
        <v>1</v>
      </c>
      <c r="T22" s="7" t="s">
        <v>686</v>
      </c>
      <c r="U22" s="7" t="s">
        <v>1022</v>
      </c>
      <c r="V22" s="7" t="s">
        <v>772</v>
      </c>
      <c r="W22" s="7" t="s">
        <v>777</v>
      </c>
      <c r="X22" s="7" t="s">
        <v>771</v>
      </c>
      <c r="Y22" s="7" t="s">
        <v>685</v>
      </c>
      <c r="Z22" s="53"/>
      <c r="AA22" s="7" t="s">
        <v>761</v>
      </c>
    </row>
    <row r="23" spans="1:27" x14ac:dyDescent="0.25">
      <c r="A23" s="32" t="s">
        <v>684</v>
      </c>
      <c r="B23" s="27">
        <v>22</v>
      </c>
      <c r="C23" s="27" t="s">
        <v>686</v>
      </c>
      <c r="D23" s="32" t="s">
        <v>685</v>
      </c>
      <c r="E23" s="54" t="s">
        <v>865</v>
      </c>
      <c r="F23" s="27" t="s">
        <v>771</v>
      </c>
      <c r="G23" s="27">
        <v>32100</v>
      </c>
      <c r="H23" s="27" t="s">
        <v>686</v>
      </c>
      <c r="I23" s="27" t="s">
        <v>941</v>
      </c>
      <c r="J23" s="27" t="s">
        <v>686</v>
      </c>
      <c r="K23" s="27">
        <v>6</v>
      </c>
      <c r="L23" s="27" t="s">
        <v>686</v>
      </c>
      <c r="M23" s="27">
        <v>0</v>
      </c>
      <c r="N23" s="27" t="s">
        <v>686</v>
      </c>
      <c r="O23" s="27" t="s">
        <v>784</v>
      </c>
      <c r="P23" s="27" t="s">
        <v>773</v>
      </c>
      <c r="Q23" s="27" t="s">
        <v>776</v>
      </c>
      <c r="R23" s="27" t="s">
        <v>686</v>
      </c>
      <c r="S23" s="27" t="s">
        <v>246</v>
      </c>
      <c r="T23" s="27" t="s">
        <v>686</v>
      </c>
      <c r="U23" s="27" t="s">
        <v>1022</v>
      </c>
      <c r="V23" s="27" t="s">
        <v>772</v>
      </c>
      <c r="W23" s="27" t="s">
        <v>767</v>
      </c>
      <c r="X23" s="27" t="s">
        <v>771</v>
      </c>
      <c r="Y23" s="27" t="s">
        <v>685</v>
      </c>
      <c r="Z23" s="54"/>
      <c r="AA23" s="27" t="s">
        <v>761</v>
      </c>
    </row>
    <row r="24" spans="1:27" x14ac:dyDescent="0.25">
      <c r="A24" s="32" t="s">
        <v>684</v>
      </c>
      <c r="B24" s="27">
        <v>23</v>
      </c>
      <c r="C24" s="27" t="s">
        <v>686</v>
      </c>
      <c r="D24" s="32" t="s">
        <v>685</v>
      </c>
      <c r="E24" s="54" t="s">
        <v>866</v>
      </c>
      <c r="F24" s="27" t="s">
        <v>771</v>
      </c>
      <c r="G24" s="27">
        <v>32101</v>
      </c>
      <c r="H24" s="27" t="s">
        <v>686</v>
      </c>
      <c r="I24" s="27" t="s">
        <v>941</v>
      </c>
      <c r="J24" s="27" t="s">
        <v>686</v>
      </c>
      <c r="K24" s="27">
        <v>0</v>
      </c>
      <c r="L24" s="27" t="s">
        <v>686</v>
      </c>
      <c r="M24" s="27">
        <v>1</v>
      </c>
      <c r="N24" s="27" t="s">
        <v>686</v>
      </c>
      <c r="O24" s="27" t="s">
        <v>784</v>
      </c>
      <c r="P24" s="27" t="s">
        <v>775</v>
      </c>
      <c r="Q24" s="27" t="s">
        <v>776</v>
      </c>
      <c r="R24" s="27" t="s">
        <v>686</v>
      </c>
      <c r="S24" s="27" t="s">
        <v>246</v>
      </c>
      <c r="T24" s="27" t="s">
        <v>686</v>
      </c>
      <c r="U24" s="27" t="s">
        <v>1022</v>
      </c>
      <c r="V24" s="27" t="s">
        <v>772</v>
      </c>
      <c r="W24" s="27" t="s">
        <v>768</v>
      </c>
      <c r="X24" s="27" t="s">
        <v>771</v>
      </c>
      <c r="Y24" s="27" t="s">
        <v>685</v>
      </c>
      <c r="Z24" s="54"/>
      <c r="AA24" s="27" t="s">
        <v>761</v>
      </c>
    </row>
    <row r="25" spans="1:27" x14ac:dyDescent="0.25">
      <c r="A25" s="32" t="s">
        <v>684</v>
      </c>
      <c r="B25" s="27">
        <v>24</v>
      </c>
      <c r="C25" s="27" t="s">
        <v>686</v>
      </c>
      <c r="D25" s="32" t="s">
        <v>685</v>
      </c>
      <c r="E25" s="54" t="s">
        <v>921</v>
      </c>
      <c r="F25" s="27" t="s">
        <v>771</v>
      </c>
      <c r="G25" s="27">
        <v>32102</v>
      </c>
      <c r="H25" s="27" t="s">
        <v>686</v>
      </c>
      <c r="I25" s="27" t="s">
        <v>941</v>
      </c>
      <c r="J25" s="27" t="s">
        <v>686</v>
      </c>
      <c r="K25" s="27">
        <v>0</v>
      </c>
      <c r="L25" s="27" t="s">
        <v>686</v>
      </c>
      <c r="M25" s="27">
        <v>2</v>
      </c>
      <c r="N25" s="27" t="s">
        <v>686</v>
      </c>
      <c r="O25" s="27" t="s">
        <v>784</v>
      </c>
      <c r="P25" s="27" t="s">
        <v>775</v>
      </c>
      <c r="Q25" s="27" t="s">
        <v>776</v>
      </c>
      <c r="R25" s="27" t="s">
        <v>686</v>
      </c>
      <c r="S25" s="27">
        <v>1</v>
      </c>
      <c r="T25" s="27" t="s">
        <v>686</v>
      </c>
      <c r="U25" s="27" t="s">
        <v>1022</v>
      </c>
      <c r="V25" s="27" t="s">
        <v>772</v>
      </c>
      <c r="W25" s="27" t="s">
        <v>765</v>
      </c>
      <c r="X25" s="27" t="s">
        <v>771</v>
      </c>
      <c r="Y25" s="27" t="s">
        <v>685</v>
      </c>
      <c r="Z25" s="54" t="s">
        <v>906</v>
      </c>
      <c r="AA25" s="27" t="s">
        <v>761</v>
      </c>
    </row>
    <row r="26" spans="1:27" x14ac:dyDescent="0.25">
      <c r="A26" s="32" t="s">
        <v>684</v>
      </c>
      <c r="B26" s="27">
        <v>25</v>
      </c>
      <c r="C26" s="27" t="s">
        <v>686</v>
      </c>
      <c r="D26" s="32" t="s">
        <v>685</v>
      </c>
      <c r="E26" s="54" t="s">
        <v>922</v>
      </c>
      <c r="F26" s="27" t="s">
        <v>771</v>
      </c>
      <c r="G26" s="27">
        <v>32103</v>
      </c>
      <c r="H26" s="27" t="s">
        <v>686</v>
      </c>
      <c r="I26" s="27" t="s">
        <v>941</v>
      </c>
      <c r="J26" s="27" t="s">
        <v>686</v>
      </c>
      <c r="K26" s="27">
        <v>0</v>
      </c>
      <c r="L26" s="27" t="s">
        <v>686</v>
      </c>
      <c r="M26" s="27">
        <v>3</v>
      </c>
      <c r="N26" s="27" t="s">
        <v>686</v>
      </c>
      <c r="O26" s="27" t="s">
        <v>784</v>
      </c>
      <c r="P26" s="27" t="s">
        <v>775</v>
      </c>
      <c r="Q26" s="27" t="s">
        <v>776</v>
      </c>
      <c r="R26" s="27" t="s">
        <v>686</v>
      </c>
      <c r="S26" s="27">
        <v>1</v>
      </c>
      <c r="T26" s="27" t="s">
        <v>686</v>
      </c>
      <c r="U26" s="27" t="s">
        <v>1022</v>
      </c>
      <c r="V26" s="27" t="s">
        <v>772</v>
      </c>
      <c r="W26" s="27" t="s">
        <v>765</v>
      </c>
      <c r="X26" s="27" t="s">
        <v>771</v>
      </c>
      <c r="Y26" s="27" t="s">
        <v>685</v>
      </c>
      <c r="Z26" s="54" t="s">
        <v>906</v>
      </c>
      <c r="AA26" s="27" t="s">
        <v>761</v>
      </c>
    </row>
    <row r="27" spans="1:27" x14ac:dyDescent="0.25">
      <c r="A27" s="32" t="s">
        <v>684</v>
      </c>
      <c r="B27" s="27">
        <v>26</v>
      </c>
      <c r="C27" s="27" t="s">
        <v>686</v>
      </c>
      <c r="D27" s="32" t="s">
        <v>685</v>
      </c>
      <c r="E27" s="54" t="s">
        <v>868</v>
      </c>
      <c r="F27" s="27" t="s">
        <v>771</v>
      </c>
      <c r="G27" s="27">
        <v>32104</v>
      </c>
      <c r="H27" s="27" t="s">
        <v>686</v>
      </c>
      <c r="I27" s="27" t="s">
        <v>941</v>
      </c>
      <c r="J27" s="27" t="s">
        <v>686</v>
      </c>
      <c r="K27" s="27">
        <v>0</v>
      </c>
      <c r="L27" s="27" t="s">
        <v>686</v>
      </c>
      <c r="M27" s="27">
        <v>4</v>
      </c>
      <c r="N27" s="27" t="s">
        <v>686</v>
      </c>
      <c r="O27" s="27" t="s">
        <v>784</v>
      </c>
      <c r="P27" s="27" t="s">
        <v>773</v>
      </c>
      <c r="Q27" s="27" t="s">
        <v>776</v>
      </c>
      <c r="R27" s="27" t="s">
        <v>686</v>
      </c>
      <c r="S27" s="27">
        <v>1</v>
      </c>
      <c r="T27" s="27" t="s">
        <v>686</v>
      </c>
      <c r="U27" s="27" t="s">
        <v>1022</v>
      </c>
      <c r="V27" s="27" t="s">
        <v>772</v>
      </c>
      <c r="W27" s="27" t="s">
        <v>766</v>
      </c>
      <c r="X27" s="27" t="s">
        <v>771</v>
      </c>
      <c r="Y27" s="27" t="s">
        <v>685</v>
      </c>
      <c r="Z27" s="54"/>
      <c r="AA27" s="27" t="s">
        <v>761</v>
      </c>
    </row>
    <row r="28" spans="1:27" x14ac:dyDescent="0.25">
      <c r="A28" s="32" t="s">
        <v>684</v>
      </c>
      <c r="B28" s="27">
        <v>27</v>
      </c>
      <c r="C28" s="27" t="s">
        <v>686</v>
      </c>
      <c r="D28" s="32" t="s">
        <v>685</v>
      </c>
      <c r="E28" s="54" t="s">
        <v>869</v>
      </c>
      <c r="F28" s="27" t="s">
        <v>771</v>
      </c>
      <c r="G28" s="27">
        <v>32105</v>
      </c>
      <c r="H28" s="27" t="s">
        <v>686</v>
      </c>
      <c r="I28" s="27" t="s">
        <v>941</v>
      </c>
      <c r="J28" s="27" t="s">
        <v>686</v>
      </c>
      <c r="K28" s="27">
        <v>0</v>
      </c>
      <c r="L28" s="27" t="s">
        <v>686</v>
      </c>
      <c r="M28" s="27">
        <v>5</v>
      </c>
      <c r="N28" s="27" t="s">
        <v>686</v>
      </c>
      <c r="O28" s="27" t="s">
        <v>784</v>
      </c>
      <c r="P28" s="27" t="s">
        <v>773</v>
      </c>
      <c r="Q28" s="27" t="s">
        <v>776</v>
      </c>
      <c r="R28" s="27" t="s">
        <v>686</v>
      </c>
      <c r="S28" s="27" t="s">
        <v>246</v>
      </c>
      <c r="T28" s="27" t="s">
        <v>686</v>
      </c>
      <c r="U28" s="27" t="s">
        <v>1022</v>
      </c>
      <c r="V28" s="27" t="s">
        <v>772</v>
      </c>
      <c r="W28" s="27" t="s">
        <v>21</v>
      </c>
      <c r="X28" s="27" t="s">
        <v>771</v>
      </c>
      <c r="Y28" s="27" t="s">
        <v>685</v>
      </c>
      <c r="Z28" s="54"/>
      <c r="AA28" s="27" t="s">
        <v>761</v>
      </c>
    </row>
    <row r="29" spans="1:27" x14ac:dyDescent="0.25">
      <c r="A29" s="31" t="s">
        <v>684</v>
      </c>
      <c r="B29" s="7">
        <v>28</v>
      </c>
      <c r="C29" s="7" t="s">
        <v>686</v>
      </c>
      <c r="D29" s="31" t="s">
        <v>685</v>
      </c>
      <c r="E29" s="53" t="s">
        <v>870</v>
      </c>
      <c r="F29" s="7" t="s">
        <v>771</v>
      </c>
      <c r="G29" s="7">
        <v>32200</v>
      </c>
      <c r="H29" s="7" t="s">
        <v>686</v>
      </c>
      <c r="I29" s="7" t="s">
        <v>942</v>
      </c>
      <c r="J29" s="7" t="s">
        <v>686</v>
      </c>
      <c r="K29" s="7">
        <v>5</v>
      </c>
      <c r="L29" s="7" t="s">
        <v>686</v>
      </c>
      <c r="M29" s="7">
        <v>0</v>
      </c>
      <c r="N29" s="7" t="s">
        <v>686</v>
      </c>
      <c r="O29" s="7" t="s">
        <v>784</v>
      </c>
      <c r="P29" s="7" t="s">
        <v>773</v>
      </c>
      <c r="Q29" s="7" t="s">
        <v>776</v>
      </c>
      <c r="R29" s="7" t="s">
        <v>686</v>
      </c>
      <c r="S29" s="7" t="s">
        <v>770</v>
      </c>
      <c r="T29" s="7" t="s">
        <v>686</v>
      </c>
      <c r="U29" s="7" t="s">
        <v>1022</v>
      </c>
      <c r="V29" s="7" t="s">
        <v>772</v>
      </c>
      <c r="W29" s="7" t="s">
        <v>767</v>
      </c>
      <c r="X29" s="7" t="s">
        <v>771</v>
      </c>
      <c r="Y29" s="7" t="s">
        <v>685</v>
      </c>
      <c r="Z29" s="53"/>
      <c r="AA29" s="7" t="s">
        <v>761</v>
      </c>
    </row>
    <row r="30" spans="1:27" x14ac:dyDescent="0.25">
      <c r="A30" s="31" t="s">
        <v>684</v>
      </c>
      <c r="B30" s="7">
        <v>29</v>
      </c>
      <c r="C30" s="7" t="s">
        <v>686</v>
      </c>
      <c r="D30" s="31" t="s">
        <v>685</v>
      </c>
      <c r="E30" s="53" t="s">
        <v>871</v>
      </c>
      <c r="F30" s="7" t="s">
        <v>771</v>
      </c>
      <c r="G30" s="7">
        <v>32201</v>
      </c>
      <c r="H30" s="7" t="s">
        <v>686</v>
      </c>
      <c r="I30" s="7" t="s">
        <v>942</v>
      </c>
      <c r="J30" s="7" t="s">
        <v>686</v>
      </c>
      <c r="K30" s="7">
        <v>0</v>
      </c>
      <c r="L30" s="7" t="s">
        <v>686</v>
      </c>
      <c r="M30" s="7">
        <v>1</v>
      </c>
      <c r="N30" s="7" t="s">
        <v>686</v>
      </c>
      <c r="O30" s="7" t="s">
        <v>784</v>
      </c>
      <c r="P30" s="7" t="s">
        <v>773</v>
      </c>
      <c r="Q30" s="7" t="s">
        <v>776</v>
      </c>
      <c r="R30" s="7" t="s">
        <v>686</v>
      </c>
      <c r="S30" s="7" t="s">
        <v>246</v>
      </c>
      <c r="T30" s="7" t="s">
        <v>686</v>
      </c>
      <c r="U30" s="7" t="s">
        <v>1022</v>
      </c>
      <c r="V30" s="7" t="s">
        <v>772</v>
      </c>
      <c r="W30" s="7" t="s">
        <v>768</v>
      </c>
      <c r="X30" s="7" t="s">
        <v>771</v>
      </c>
      <c r="Y30" s="7" t="s">
        <v>685</v>
      </c>
      <c r="Z30" s="53"/>
      <c r="AA30" s="7" t="s">
        <v>761</v>
      </c>
    </row>
    <row r="31" spans="1:27" x14ac:dyDescent="0.25">
      <c r="A31" s="31" t="s">
        <v>684</v>
      </c>
      <c r="B31" s="7">
        <v>30</v>
      </c>
      <c r="C31" s="7" t="s">
        <v>686</v>
      </c>
      <c r="D31" s="31" t="s">
        <v>685</v>
      </c>
      <c r="E31" s="53" t="s">
        <v>923</v>
      </c>
      <c r="F31" s="7" t="s">
        <v>771</v>
      </c>
      <c r="G31" s="7">
        <v>32202</v>
      </c>
      <c r="H31" s="7" t="s">
        <v>686</v>
      </c>
      <c r="I31" s="7" t="s">
        <v>942</v>
      </c>
      <c r="J31" s="7" t="s">
        <v>686</v>
      </c>
      <c r="K31" s="7">
        <v>0</v>
      </c>
      <c r="L31" s="7" t="s">
        <v>686</v>
      </c>
      <c r="M31" s="7">
        <v>2</v>
      </c>
      <c r="N31" s="7" t="s">
        <v>686</v>
      </c>
      <c r="O31" s="7" t="s">
        <v>784</v>
      </c>
      <c r="P31" s="7" t="s">
        <v>775</v>
      </c>
      <c r="Q31" s="7" t="s">
        <v>776</v>
      </c>
      <c r="R31" s="7" t="s">
        <v>686</v>
      </c>
      <c r="S31" s="7">
        <v>1</v>
      </c>
      <c r="T31" s="7" t="s">
        <v>686</v>
      </c>
      <c r="U31" s="7" t="s">
        <v>1022</v>
      </c>
      <c r="V31" s="7" t="s">
        <v>772</v>
      </c>
      <c r="W31" s="7" t="s">
        <v>765</v>
      </c>
      <c r="X31" s="7" t="s">
        <v>771</v>
      </c>
      <c r="Y31" s="7" t="s">
        <v>685</v>
      </c>
      <c r="Z31" s="53" t="s">
        <v>907</v>
      </c>
      <c r="AA31" s="7" t="s">
        <v>761</v>
      </c>
    </row>
    <row r="32" spans="1:27" x14ac:dyDescent="0.25">
      <c r="A32" s="31" t="s">
        <v>684</v>
      </c>
      <c r="B32" s="7">
        <v>31</v>
      </c>
      <c r="C32" s="7" t="s">
        <v>686</v>
      </c>
      <c r="D32" s="31" t="s">
        <v>685</v>
      </c>
      <c r="E32" s="53" t="s">
        <v>924</v>
      </c>
      <c r="F32" s="7" t="s">
        <v>771</v>
      </c>
      <c r="G32" s="7">
        <v>32203</v>
      </c>
      <c r="H32" s="7" t="s">
        <v>686</v>
      </c>
      <c r="I32" s="7" t="s">
        <v>942</v>
      </c>
      <c r="J32" s="7" t="s">
        <v>686</v>
      </c>
      <c r="K32" s="7">
        <v>0</v>
      </c>
      <c r="L32" s="7" t="s">
        <v>686</v>
      </c>
      <c r="M32" s="7">
        <v>3</v>
      </c>
      <c r="N32" s="7" t="s">
        <v>686</v>
      </c>
      <c r="O32" s="7" t="s">
        <v>784</v>
      </c>
      <c r="P32" s="7" t="s">
        <v>775</v>
      </c>
      <c r="Q32" s="7" t="s">
        <v>776</v>
      </c>
      <c r="R32" s="7" t="s">
        <v>686</v>
      </c>
      <c r="S32" s="7">
        <v>1</v>
      </c>
      <c r="T32" s="7" t="s">
        <v>686</v>
      </c>
      <c r="U32" s="7" t="s">
        <v>1022</v>
      </c>
      <c r="V32" s="7" t="s">
        <v>772</v>
      </c>
      <c r="W32" s="7" t="s">
        <v>765</v>
      </c>
      <c r="X32" s="7" t="s">
        <v>771</v>
      </c>
      <c r="Y32" s="7" t="s">
        <v>685</v>
      </c>
      <c r="Z32" s="53" t="s">
        <v>907</v>
      </c>
      <c r="AA32" s="7" t="s">
        <v>761</v>
      </c>
    </row>
    <row r="33" spans="1:27" x14ac:dyDescent="0.25">
      <c r="A33" s="31" t="s">
        <v>684</v>
      </c>
      <c r="B33" s="7">
        <v>32</v>
      </c>
      <c r="C33" s="7" t="s">
        <v>686</v>
      </c>
      <c r="D33" s="31" t="s">
        <v>685</v>
      </c>
      <c r="E33" s="53" t="s">
        <v>873</v>
      </c>
      <c r="F33" s="7" t="s">
        <v>771</v>
      </c>
      <c r="G33" s="7">
        <v>32204</v>
      </c>
      <c r="H33" s="7" t="s">
        <v>686</v>
      </c>
      <c r="I33" s="7" t="s">
        <v>942</v>
      </c>
      <c r="J33" s="7" t="s">
        <v>686</v>
      </c>
      <c r="K33" s="7">
        <v>0</v>
      </c>
      <c r="L33" s="7" t="s">
        <v>686</v>
      </c>
      <c r="M33" s="7">
        <v>4</v>
      </c>
      <c r="N33" s="7" t="s">
        <v>686</v>
      </c>
      <c r="O33" s="7" t="s">
        <v>784</v>
      </c>
      <c r="P33" s="7" t="s">
        <v>773</v>
      </c>
      <c r="Q33" s="7" t="s">
        <v>776</v>
      </c>
      <c r="R33" s="7" t="s">
        <v>686</v>
      </c>
      <c r="S33" s="7" t="s">
        <v>246</v>
      </c>
      <c r="T33" s="7" t="s">
        <v>686</v>
      </c>
      <c r="U33" s="7" t="s">
        <v>1022</v>
      </c>
      <c r="V33" s="7" t="s">
        <v>772</v>
      </c>
      <c r="W33" s="7" t="s">
        <v>769</v>
      </c>
      <c r="X33" s="7" t="s">
        <v>771</v>
      </c>
      <c r="Y33" s="7" t="s">
        <v>685</v>
      </c>
      <c r="Z33" s="53"/>
      <c r="AA33" s="7" t="s">
        <v>761</v>
      </c>
    </row>
    <row r="34" spans="1:27" x14ac:dyDescent="0.25">
      <c r="A34" s="32" t="s">
        <v>684</v>
      </c>
      <c r="B34" s="27">
        <v>33</v>
      </c>
      <c r="C34" s="27" t="s">
        <v>686</v>
      </c>
      <c r="D34" s="32" t="s">
        <v>685</v>
      </c>
      <c r="E34" s="54" t="s">
        <v>874</v>
      </c>
      <c r="F34" s="27" t="s">
        <v>771</v>
      </c>
      <c r="G34" s="27">
        <v>32300</v>
      </c>
      <c r="H34" s="27" t="s">
        <v>686</v>
      </c>
      <c r="I34" s="27" t="s">
        <v>944</v>
      </c>
      <c r="J34" s="27" t="s">
        <v>686</v>
      </c>
      <c r="K34" s="27">
        <v>4</v>
      </c>
      <c r="L34" s="27" t="s">
        <v>686</v>
      </c>
      <c r="M34" s="27">
        <v>0</v>
      </c>
      <c r="N34" s="27" t="s">
        <v>686</v>
      </c>
      <c r="O34" s="27" t="s">
        <v>784</v>
      </c>
      <c r="P34" s="27" t="s">
        <v>773</v>
      </c>
      <c r="Q34" s="27" t="s">
        <v>776</v>
      </c>
      <c r="R34" s="27" t="s">
        <v>686</v>
      </c>
      <c r="S34" s="27" t="s">
        <v>770</v>
      </c>
      <c r="T34" s="27" t="s">
        <v>686</v>
      </c>
      <c r="U34" s="27" t="s">
        <v>1022</v>
      </c>
      <c r="V34" s="27" t="s">
        <v>772</v>
      </c>
      <c r="W34" s="27" t="s">
        <v>767</v>
      </c>
      <c r="X34" s="27" t="s">
        <v>771</v>
      </c>
      <c r="Y34" s="27" t="s">
        <v>685</v>
      </c>
      <c r="Z34" s="54"/>
      <c r="AA34" s="27" t="s">
        <v>761</v>
      </c>
    </row>
    <row r="35" spans="1:27" x14ac:dyDescent="0.25">
      <c r="A35" s="32" t="s">
        <v>684</v>
      </c>
      <c r="B35" s="27">
        <v>34</v>
      </c>
      <c r="C35" s="27" t="s">
        <v>686</v>
      </c>
      <c r="D35" s="32" t="s">
        <v>685</v>
      </c>
      <c r="E35" s="54" t="s">
        <v>875</v>
      </c>
      <c r="F35" s="27" t="s">
        <v>771</v>
      </c>
      <c r="G35" s="27">
        <v>32301</v>
      </c>
      <c r="H35" s="27" t="s">
        <v>686</v>
      </c>
      <c r="I35" s="27" t="s">
        <v>944</v>
      </c>
      <c r="J35" s="27" t="s">
        <v>686</v>
      </c>
      <c r="K35" s="27">
        <v>0</v>
      </c>
      <c r="L35" s="27" t="s">
        <v>686</v>
      </c>
      <c r="M35" s="27">
        <v>1</v>
      </c>
      <c r="N35" s="27" t="s">
        <v>686</v>
      </c>
      <c r="O35" s="27" t="s">
        <v>784</v>
      </c>
      <c r="P35" s="27" t="s">
        <v>773</v>
      </c>
      <c r="Q35" s="27" t="s">
        <v>776</v>
      </c>
      <c r="R35" s="27" t="s">
        <v>686</v>
      </c>
      <c r="S35" s="27" t="s">
        <v>246</v>
      </c>
      <c r="T35" s="27" t="s">
        <v>686</v>
      </c>
      <c r="U35" s="27" t="s">
        <v>1022</v>
      </c>
      <c r="V35" s="27" t="s">
        <v>772</v>
      </c>
      <c r="W35" s="27" t="s">
        <v>768</v>
      </c>
      <c r="X35" s="27" t="s">
        <v>771</v>
      </c>
      <c r="Y35" s="27" t="s">
        <v>685</v>
      </c>
      <c r="Z35" s="54"/>
      <c r="AA35" s="27" t="s">
        <v>761</v>
      </c>
    </row>
    <row r="36" spans="1:27" x14ac:dyDescent="0.25">
      <c r="A36" s="32" t="s">
        <v>684</v>
      </c>
      <c r="B36" s="27">
        <v>35</v>
      </c>
      <c r="C36" s="27" t="s">
        <v>686</v>
      </c>
      <c r="D36" s="32" t="s">
        <v>685</v>
      </c>
      <c r="E36" s="54" t="s">
        <v>925</v>
      </c>
      <c r="F36" s="27" t="s">
        <v>771</v>
      </c>
      <c r="G36" s="27">
        <v>32302</v>
      </c>
      <c r="H36" s="27" t="s">
        <v>686</v>
      </c>
      <c r="I36" s="27" t="s">
        <v>944</v>
      </c>
      <c r="J36" s="27" t="s">
        <v>686</v>
      </c>
      <c r="K36" s="27">
        <v>0</v>
      </c>
      <c r="L36" s="27" t="s">
        <v>686</v>
      </c>
      <c r="M36" s="27">
        <v>2</v>
      </c>
      <c r="N36" s="27" t="s">
        <v>686</v>
      </c>
      <c r="O36" s="27" t="s">
        <v>784</v>
      </c>
      <c r="P36" s="27" t="s">
        <v>775</v>
      </c>
      <c r="Q36" s="27" t="s">
        <v>776</v>
      </c>
      <c r="R36" s="27" t="s">
        <v>686</v>
      </c>
      <c r="S36" s="27">
        <v>1</v>
      </c>
      <c r="T36" s="27" t="s">
        <v>686</v>
      </c>
      <c r="U36" s="27" t="s">
        <v>1022</v>
      </c>
      <c r="V36" s="27" t="s">
        <v>772</v>
      </c>
      <c r="W36" s="27" t="s">
        <v>765</v>
      </c>
      <c r="X36" s="27" t="s">
        <v>771</v>
      </c>
      <c r="Y36" s="27" t="s">
        <v>685</v>
      </c>
      <c r="Z36" s="54" t="s">
        <v>907</v>
      </c>
      <c r="AA36" s="27" t="s">
        <v>761</v>
      </c>
    </row>
    <row r="37" spans="1:27" x14ac:dyDescent="0.25">
      <c r="A37" s="32" t="s">
        <v>684</v>
      </c>
      <c r="B37" s="27">
        <v>36</v>
      </c>
      <c r="C37" s="27" t="s">
        <v>686</v>
      </c>
      <c r="D37" s="32" t="s">
        <v>685</v>
      </c>
      <c r="E37" s="54" t="s">
        <v>926</v>
      </c>
      <c r="F37" s="27" t="s">
        <v>771</v>
      </c>
      <c r="G37" s="27">
        <v>32303</v>
      </c>
      <c r="H37" s="27" t="s">
        <v>686</v>
      </c>
      <c r="I37" s="27" t="s">
        <v>944</v>
      </c>
      <c r="J37" s="27" t="s">
        <v>686</v>
      </c>
      <c r="K37" s="27">
        <v>0</v>
      </c>
      <c r="L37" s="27" t="s">
        <v>686</v>
      </c>
      <c r="M37" s="27">
        <v>2</v>
      </c>
      <c r="N37" s="27" t="s">
        <v>686</v>
      </c>
      <c r="O37" s="27" t="s">
        <v>784</v>
      </c>
      <c r="P37" s="27" t="s">
        <v>775</v>
      </c>
      <c r="Q37" s="27" t="s">
        <v>776</v>
      </c>
      <c r="R37" s="27" t="s">
        <v>686</v>
      </c>
      <c r="S37" s="27">
        <v>1</v>
      </c>
      <c r="T37" s="27" t="s">
        <v>686</v>
      </c>
      <c r="U37" s="27" t="s">
        <v>1022</v>
      </c>
      <c r="V37" s="27" t="s">
        <v>772</v>
      </c>
      <c r="W37" s="27" t="s">
        <v>765</v>
      </c>
      <c r="X37" s="27" t="s">
        <v>771</v>
      </c>
      <c r="Y37" s="27" t="s">
        <v>685</v>
      </c>
      <c r="Z37" s="54" t="s">
        <v>907</v>
      </c>
      <c r="AA37" s="27" t="s">
        <v>761</v>
      </c>
    </row>
    <row r="38" spans="1:27" x14ac:dyDescent="0.25">
      <c r="A38" s="31" t="s">
        <v>684</v>
      </c>
      <c r="B38" s="7">
        <v>37</v>
      </c>
      <c r="C38" s="7" t="s">
        <v>686</v>
      </c>
      <c r="D38" s="31" t="s">
        <v>685</v>
      </c>
      <c r="E38" s="53" t="s">
        <v>927</v>
      </c>
      <c r="F38" s="7" t="s">
        <v>771</v>
      </c>
      <c r="G38" s="7">
        <v>33000</v>
      </c>
      <c r="H38" s="7" t="s">
        <v>686</v>
      </c>
      <c r="I38" s="7" t="s">
        <v>945</v>
      </c>
      <c r="J38" s="7" t="s">
        <v>686</v>
      </c>
      <c r="K38" s="7">
        <v>12</v>
      </c>
      <c r="L38" s="7" t="s">
        <v>686</v>
      </c>
      <c r="M38" s="7">
        <v>0</v>
      </c>
      <c r="N38" s="7" t="s">
        <v>686</v>
      </c>
      <c r="O38" s="7" t="s">
        <v>784</v>
      </c>
      <c r="P38" s="7" t="s">
        <v>773</v>
      </c>
      <c r="Q38" s="7" t="s">
        <v>776</v>
      </c>
      <c r="R38" s="7" t="s">
        <v>686</v>
      </c>
      <c r="S38" s="7" t="s">
        <v>246</v>
      </c>
      <c r="T38" s="7" t="s">
        <v>686</v>
      </c>
      <c r="U38" s="7" t="s">
        <v>1022</v>
      </c>
      <c r="V38" s="7" t="s">
        <v>772</v>
      </c>
      <c r="W38" s="7" t="s">
        <v>21</v>
      </c>
      <c r="X38" s="7" t="s">
        <v>771</v>
      </c>
      <c r="Y38" s="7" t="s">
        <v>685</v>
      </c>
      <c r="Z38" s="53"/>
      <c r="AA38" s="7" t="s">
        <v>761</v>
      </c>
    </row>
    <row r="39" spans="1:27" x14ac:dyDescent="0.25">
      <c r="A39" s="31" t="s">
        <v>684</v>
      </c>
      <c r="B39" s="7">
        <v>38</v>
      </c>
      <c r="C39" s="7" t="s">
        <v>686</v>
      </c>
      <c r="D39" s="31" t="s">
        <v>685</v>
      </c>
      <c r="E39" s="53" t="s">
        <v>928</v>
      </c>
      <c r="F39" s="7" t="s">
        <v>771</v>
      </c>
      <c r="G39" s="7">
        <v>33001</v>
      </c>
      <c r="H39" s="7" t="s">
        <v>686</v>
      </c>
      <c r="I39" s="7" t="s">
        <v>945</v>
      </c>
      <c r="J39" s="7" t="s">
        <v>686</v>
      </c>
      <c r="K39" s="7">
        <v>0</v>
      </c>
      <c r="L39" s="7" t="s">
        <v>686</v>
      </c>
      <c r="M39" s="7">
        <v>1</v>
      </c>
      <c r="N39" s="7" t="s">
        <v>686</v>
      </c>
      <c r="O39" s="7" t="s">
        <v>784</v>
      </c>
      <c r="P39" s="7" t="s">
        <v>773</v>
      </c>
      <c r="Q39" s="7" t="s">
        <v>776</v>
      </c>
      <c r="R39" s="7" t="s">
        <v>686</v>
      </c>
      <c r="S39" s="7" t="s">
        <v>246</v>
      </c>
      <c r="T39" s="7" t="s">
        <v>686</v>
      </c>
      <c r="U39" s="7" t="s">
        <v>1022</v>
      </c>
      <c r="V39" s="7" t="s">
        <v>772</v>
      </c>
      <c r="W39" s="7" t="s">
        <v>21</v>
      </c>
      <c r="X39" s="7" t="s">
        <v>771</v>
      </c>
      <c r="Y39" s="7" t="s">
        <v>685</v>
      </c>
      <c r="Z39" s="53"/>
      <c r="AA39" s="7" t="s">
        <v>761</v>
      </c>
    </row>
    <row r="40" spans="1:27" x14ac:dyDescent="0.25">
      <c r="A40" s="31" t="s">
        <v>684</v>
      </c>
      <c r="B40" s="7">
        <v>39</v>
      </c>
      <c r="C40" s="7" t="s">
        <v>686</v>
      </c>
      <c r="D40" s="31" t="s">
        <v>685</v>
      </c>
      <c r="E40" s="53" t="s">
        <v>929</v>
      </c>
      <c r="F40" s="7" t="s">
        <v>771</v>
      </c>
      <c r="G40" s="7">
        <v>33002</v>
      </c>
      <c r="H40" s="7" t="s">
        <v>686</v>
      </c>
      <c r="I40" s="7" t="s">
        <v>945</v>
      </c>
      <c r="J40" s="7" t="s">
        <v>686</v>
      </c>
      <c r="K40" s="7">
        <v>0</v>
      </c>
      <c r="L40" s="7" t="s">
        <v>686</v>
      </c>
      <c r="M40" s="7">
        <v>2</v>
      </c>
      <c r="N40" s="7" t="s">
        <v>686</v>
      </c>
      <c r="O40" s="7" t="s">
        <v>784</v>
      </c>
      <c r="P40" s="7" t="s">
        <v>773</v>
      </c>
      <c r="Q40" s="7" t="s">
        <v>776</v>
      </c>
      <c r="R40" s="7" t="s">
        <v>686</v>
      </c>
      <c r="S40" s="7" t="s">
        <v>246</v>
      </c>
      <c r="T40" s="7" t="s">
        <v>686</v>
      </c>
      <c r="U40" s="7" t="s">
        <v>1022</v>
      </c>
      <c r="V40" s="7" t="s">
        <v>772</v>
      </c>
      <c r="W40" s="7" t="s">
        <v>21</v>
      </c>
      <c r="X40" s="7" t="s">
        <v>771</v>
      </c>
      <c r="Y40" s="7" t="s">
        <v>685</v>
      </c>
      <c r="Z40" s="53"/>
      <c r="AA40" s="7" t="s">
        <v>761</v>
      </c>
    </row>
    <row r="41" spans="1:27" x14ac:dyDescent="0.25">
      <c r="A41" s="31" t="s">
        <v>684</v>
      </c>
      <c r="B41" s="7">
        <v>40</v>
      </c>
      <c r="C41" s="7" t="s">
        <v>686</v>
      </c>
      <c r="D41" s="31" t="s">
        <v>685</v>
      </c>
      <c r="E41" s="53" t="s">
        <v>934</v>
      </c>
      <c r="F41" s="7" t="s">
        <v>771</v>
      </c>
      <c r="G41" s="7">
        <v>33003</v>
      </c>
      <c r="H41" s="7" t="s">
        <v>686</v>
      </c>
      <c r="I41" s="7" t="s">
        <v>945</v>
      </c>
      <c r="J41" s="7" t="s">
        <v>686</v>
      </c>
      <c r="K41" s="7">
        <v>0</v>
      </c>
      <c r="L41" s="7" t="s">
        <v>686</v>
      </c>
      <c r="M41" s="7">
        <v>3</v>
      </c>
      <c r="N41" s="7" t="s">
        <v>686</v>
      </c>
      <c r="O41" s="7" t="s">
        <v>784</v>
      </c>
      <c r="P41" s="7" t="s">
        <v>773</v>
      </c>
      <c r="Q41" s="7" t="s">
        <v>776</v>
      </c>
      <c r="R41" s="7" t="s">
        <v>686</v>
      </c>
      <c r="S41" s="7" t="s">
        <v>246</v>
      </c>
      <c r="T41" s="7" t="s">
        <v>686</v>
      </c>
      <c r="U41" s="7" t="s">
        <v>1022</v>
      </c>
      <c r="V41" s="7" t="s">
        <v>772</v>
      </c>
      <c r="W41" s="7" t="s">
        <v>21</v>
      </c>
      <c r="X41" s="7" t="s">
        <v>771</v>
      </c>
      <c r="Y41" s="7" t="s">
        <v>685</v>
      </c>
      <c r="Z41" s="53"/>
      <c r="AA41" s="7" t="s">
        <v>761</v>
      </c>
    </row>
    <row r="42" spans="1:27" x14ac:dyDescent="0.25">
      <c r="A42" s="31" t="s">
        <v>684</v>
      </c>
      <c r="B42" s="7">
        <v>41</v>
      </c>
      <c r="C42" s="7" t="s">
        <v>686</v>
      </c>
      <c r="D42" s="31" t="s">
        <v>685</v>
      </c>
      <c r="E42" s="53" t="s">
        <v>930</v>
      </c>
      <c r="F42" s="7" t="s">
        <v>771</v>
      </c>
      <c r="G42" s="7">
        <v>33004</v>
      </c>
      <c r="H42" s="7" t="s">
        <v>686</v>
      </c>
      <c r="I42" s="7" t="s">
        <v>945</v>
      </c>
      <c r="J42" s="7" t="s">
        <v>686</v>
      </c>
      <c r="K42" s="7">
        <v>0</v>
      </c>
      <c r="L42" s="7" t="s">
        <v>686</v>
      </c>
      <c r="M42" s="7">
        <v>4</v>
      </c>
      <c r="N42" s="7" t="s">
        <v>686</v>
      </c>
      <c r="O42" s="7" t="s">
        <v>784</v>
      </c>
      <c r="P42" s="7" t="s">
        <v>773</v>
      </c>
      <c r="Q42" s="7" t="s">
        <v>776</v>
      </c>
      <c r="R42" s="7" t="s">
        <v>686</v>
      </c>
      <c r="S42" s="7" t="s">
        <v>246</v>
      </c>
      <c r="T42" s="7" t="s">
        <v>686</v>
      </c>
      <c r="U42" s="7" t="s">
        <v>1022</v>
      </c>
      <c r="V42" s="7" t="s">
        <v>772</v>
      </c>
      <c r="W42" s="7" t="s">
        <v>21</v>
      </c>
      <c r="X42" s="7" t="s">
        <v>771</v>
      </c>
      <c r="Y42" s="7" t="s">
        <v>685</v>
      </c>
      <c r="Z42" s="53"/>
      <c r="AA42" s="7" t="s">
        <v>761</v>
      </c>
    </row>
    <row r="43" spans="1:27" x14ac:dyDescent="0.25">
      <c r="A43" s="31" t="s">
        <v>684</v>
      </c>
      <c r="B43" s="7">
        <v>42</v>
      </c>
      <c r="C43" s="7" t="s">
        <v>686</v>
      </c>
      <c r="D43" s="31" t="s">
        <v>685</v>
      </c>
      <c r="E43" s="53" t="s">
        <v>935</v>
      </c>
      <c r="F43" s="7" t="s">
        <v>771</v>
      </c>
      <c r="G43" s="7">
        <v>33005</v>
      </c>
      <c r="H43" s="7" t="s">
        <v>686</v>
      </c>
      <c r="I43" s="7" t="s">
        <v>945</v>
      </c>
      <c r="J43" s="7" t="s">
        <v>686</v>
      </c>
      <c r="K43" s="7">
        <v>0</v>
      </c>
      <c r="L43" s="7" t="s">
        <v>686</v>
      </c>
      <c r="M43" s="7">
        <v>5</v>
      </c>
      <c r="N43" s="7" t="s">
        <v>686</v>
      </c>
      <c r="O43" s="7" t="s">
        <v>784</v>
      </c>
      <c r="P43" s="7" t="s">
        <v>773</v>
      </c>
      <c r="Q43" s="7" t="s">
        <v>776</v>
      </c>
      <c r="R43" s="7" t="s">
        <v>686</v>
      </c>
      <c r="S43" s="7" t="s">
        <v>246</v>
      </c>
      <c r="T43" s="7" t="s">
        <v>686</v>
      </c>
      <c r="U43" s="7" t="s">
        <v>1022</v>
      </c>
      <c r="V43" s="7" t="s">
        <v>772</v>
      </c>
      <c r="W43" s="7" t="s">
        <v>21</v>
      </c>
      <c r="X43" s="7" t="s">
        <v>771</v>
      </c>
      <c r="Y43" s="7" t="s">
        <v>685</v>
      </c>
      <c r="Z43" s="53"/>
      <c r="AA43" s="7" t="s">
        <v>761</v>
      </c>
    </row>
    <row r="44" spans="1:27" x14ac:dyDescent="0.25">
      <c r="A44" s="31" t="s">
        <v>684</v>
      </c>
      <c r="B44" s="7">
        <v>43</v>
      </c>
      <c r="C44" s="7" t="s">
        <v>686</v>
      </c>
      <c r="D44" s="31" t="s">
        <v>685</v>
      </c>
      <c r="E44" s="53" t="s">
        <v>931</v>
      </c>
      <c r="F44" s="7" t="s">
        <v>771</v>
      </c>
      <c r="G44" s="7">
        <v>33006</v>
      </c>
      <c r="H44" s="7" t="s">
        <v>686</v>
      </c>
      <c r="I44" s="7" t="s">
        <v>945</v>
      </c>
      <c r="J44" s="7" t="s">
        <v>686</v>
      </c>
      <c r="K44" s="7">
        <v>0</v>
      </c>
      <c r="L44" s="7" t="s">
        <v>686</v>
      </c>
      <c r="M44" s="7">
        <v>6</v>
      </c>
      <c r="N44" s="7" t="s">
        <v>686</v>
      </c>
      <c r="O44" s="7" t="s">
        <v>784</v>
      </c>
      <c r="P44" s="7" t="s">
        <v>773</v>
      </c>
      <c r="Q44" s="7" t="s">
        <v>776</v>
      </c>
      <c r="R44" s="7" t="s">
        <v>686</v>
      </c>
      <c r="S44" s="7" t="s">
        <v>246</v>
      </c>
      <c r="T44" s="7" t="s">
        <v>686</v>
      </c>
      <c r="U44" s="7" t="s">
        <v>1022</v>
      </c>
      <c r="V44" s="7" t="s">
        <v>772</v>
      </c>
      <c r="W44" s="7" t="s">
        <v>21</v>
      </c>
      <c r="X44" s="7" t="s">
        <v>771</v>
      </c>
      <c r="Y44" s="7" t="s">
        <v>685</v>
      </c>
      <c r="Z44" s="53"/>
      <c r="AA44" s="7" t="s">
        <v>761</v>
      </c>
    </row>
    <row r="45" spans="1:27" x14ac:dyDescent="0.25">
      <c r="A45" s="31" t="s">
        <v>684</v>
      </c>
      <c r="B45" s="7">
        <v>44</v>
      </c>
      <c r="C45" s="7" t="s">
        <v>686</v>
      </c>
      <c r="D45" s="31" t="s">
        <v>685</v>
      </c>
      <c r="E45" s="53" t="s">
        <v>936</v>
      </c>
      <c r="F45" s="7" t="s">
        <v>771</v>
      </c>
      <c r="G45" s="7">
        <v>33007</v>
      </c>
      <c r="H45" s="7" t="s">
        <v>686</v>
      </c>
      <c r="I45" s="7" t="s">
        <v>945</v>
      </c>
      <c r="J45" s="7" t="s">
        <v>686</v>
      </c>
      <c r="K45" s="7">
        <v>0</v>
      </c>
      <c r="L45" s="7" t="s">
        <v>686</v>
      </c>
      <c r="M45" s="7">
        <v>7</v>
      </c>
      <c r="N45" s="7" t="s">
        <v>686</v>
      </c>
      <c r="O45" s="7" t="s">
        <v>784</v>
      </c>
      <c r="P45" s="7" t="s">
        <v>773</v>
      </c>
      <c r="Q45" s="7" t="s">
        <v>776</v>
      </c>
      <c r="R45" s="7" t="s">
        <v>686</v>
      </c>
      <c r="S45" s="7" t="s">
        <v>246</v>
      </c>
      <c r="T45" s="7" t="s">
        <v>686</v>
      </c>
      <c r="U45" s="7" t="s">
        <v>1022</v>
      </c>
      <c r="V45" s="7" t="s">
        <v>772</v>
      </c>
      <c r="W45" s="7" t="s">
        <v>21</v>
      </c>
      <c r="X45" s="7" t="s">
        <v>771</v>
      </c>
      <c r="Y45" s="7" t="s">
        <v>685</v>
      </c>
      <c r="Z45" s="53"/>
      <c r="AA45" s="7" t="s">
        <v>761</v>
      </c>
    </row>
    <row r="46" spans="1:27" x14ac:dyDescent="0.25">
      <c r="A46" s="31" t="s">
        <v>684</v>
      </c>
      <c r="B46" s="7">
        <v>45</v>
      </c>
      <c r="C46" s="7" t="s">
        <v>686</v>
      </c>
      <c r="D46" s="31" t="s">
        <v>685</v>
      </c>
      <c r="E46" s="53" t="s">
        <v>932</v>
      </c>
      <c r="F46" s="7" t="s">
        <v>771</v>
      </c>
      <c r="G46" s="7">
        <v>33008</v>
      </c>
      <c r="H46" s="7" t="s">
        <v>686</v>
      </c>
      <c r="I46" s="7" t="s">
        <v>945</v>
      </c>
      <c r="J46" s="7" t="s">
        <v>686</v>
      </c>
      <c r="K46" s="7">
        <v>0</v>
      </c>
      <c r="L46" s="7" t="s">
        <v>686</v>
      </c>
      <c r="M46" s="7">
        <v>8</v>
      </c>
      <c r="N46" s="7" t="s">
        <v>686</v>
      </c>
      <c r="O46" s="7" t="s">
        <v>784</v>
      </c>
      <c r="P46" s="7" t="s">
        <v>773</v>
      </c>
      <c r="Q46" s="7" t="s">
        <v>776</v>
      </c>
      <c r="R46" s="7" t="s">
        <v>686</v>
      </c>
      <c r="S46" s="7" t="s">
        <v>246</v>
      </c>
      <c r="T46" s="7" t="s">
        <v>686</v>
      </c>
      <c r="U46" s="7" t="s">
        <v>1022</v>
      </c>
      <c r="V46" s="7" t="s">
        <v>772</v>
      </c>
      <c r="W46" s="7" t="s">
        <v>21</v>
      </c>
      <c r="X46" s="7" t="s">
        <v>771</v>
      </c>
      <c r="Y46" s="7" t="s">
        <v>685</v>
      </c>
      <c r="Z46" s="53"/>
      <c r="AA46" s="7" t="s">
        <v>761</v>
      </c>
    </row>
    <row r="47" spans="1:27" x14ac:dyDescent="0.25">
      <c r="A47" s="31" t="s">
        <v>684</v>
      </c>
      <c r="B47" s="7">
        <v>46</v>
      </c>
      <c r="C47" s="7" t="s">
        <v>686</v>
      </c>
      <c r="D47" s="31" t="s">
        <v>685</v>
      </c>
      <c r="E47" s="53" t="s">
        <v>937</v>
      </c>
      <c r="F47" s="7" t="s">
        <v>771</v>
      </c>
      <c r="G47" s="7">
        <v>33009</v>
      </c>
      <c r="H47" s="7" t="s">
        <v>686</v>
      </c>
      <c r="I47" s="7" t="s">
        <v>945</v>
      </c>
      <c r="J47" s="7" t="s">
        <v>686</v>
      </c>
      <c r="K47" s="7">
        <v>0</v>
      </c>
      <c r="L47" s="7" t="s">
        <v>686</v>
      </c>
      <c r="M47" s="7">
        <v>9</v>
      </c>
      <c r="N47" s="7" t="s">
        <v>686</v>
      </c>
      <c r="O47" s="7" t="s">
        <v>784</v>
      </c>
      <c r="P47" s="7" t="s">
        <v>773</v>
      </c>
      <c r="Q47" s="7" t="s">
        <v>776</v>
      </c>
      <c r="R47" s="7" t="s">
        <v>686</v>
      </c>
      <c r="S47" s="7" t="s">
        <v>246</v>
      </c>
      <c r="T47" s="7" t="s">
        <v>686</v>
      </c>
      <c r="U47" s="7" t="s">
        <v>1022</v>
      </c>
      <c r="V47" s="7" t="s">
        <v>772</v>
      </c>
      <c r="W47" s="7" t="s">
        <v>21</v>
      </c>
      <c r="X47" s="7" t="s">
        <v>771</v>
      </c>
      <c r="Y47" s="7" t="s">
        <v>685</v>
      </c>
      <c r="Z47" s="53"/>
      <c r="AA47" s="7" t="s">
        <v>761</v>
      </c>
    </row>
    <row r="48" spans="1:27" x14ac:dyDescent="0.25">
      <c r="A48" s="31" t="s">
        <v>684</v>
      </c>
      <c r="B48" s="7">
        <v>47</v>
      </c>
      <c r="C48" s="7" t="s">
        <v>686</v>
      </c>
      <c r="D48" s="31" t="s">
        <v>685</v>
      </c>
      <c r="E48" s="53" t="s">
        <v>933</v>
      </c>
      <c r="F48" s="7" t="s">
        <v>771</v>
      </c>
      <c r="G48" s="7">
        <v>33010</v>
      </c>
      <c r="H48" s="7" t="s">
        <v>686</v>
      </c>
      <c r="I48" s="7" t="s">
        <v>945</v>
      </c>
      <c r="J48" s="7" t="s">
        <v>686</v>
      </c>
      <c r="K48" s="7">
        <v>0</v>
      </c>
      <c r="L48" s="7" t="s">
        <v>686</v>
      </c>
      <c r="M48" s="7">
        <v>10</v>
      </c>
      <c r="N48" s="7" t="s">
        <v>686</v>
      </c>
      <c r="O48" s="7" t="s">
        <v>784</v>
      </c>
      <c r="P48" s="7" t="s">
        <v>773</v>
      </c>
      <c r="Q48" s="7" t="s">
        <v>776</v>
      </c>
      <c r="R48" s="7" t="s">
        <v>686</v>
      </c>
      <c r="S48" s="7" t="s">
        <v>246</v>
      </c>
      <c r="T48" s="7" t="s">
        <v>686</v>
      </c>
      <c r="U48" s="7" t="s">
        <v>1022</v>
      </c>
      <c r="V48" s="7" t="s">
        <v>772</v>
      </c>
      <c r="W48" s="7" t="s">
        <v>21</v>
      </c>
      <c r="X48" s="7" t="s">
        <v>771</v>
      </c>
      <c r="Y48" s="7" t="s">
        <v>685</v>
      </c>
      <c r="Z48" s="53"/>
      <c r="AA48" s="7" t="s">
        <v>761</v>
      </c>
    </row>
    <row r="49" spans="1:27" x14ac:dyDescent="0.25">
      <c r="A49" s="31" t="s">
        <v>684</v>
      </c>
      <c r="B49" s="7">
        <v>48</v>
      </c>
      <c r="C49" s="7" t="s">
        <v>686</v>
      </c>
      <c r="D49" s="31" t="s">
        <v>685</v>
      </c>
      <c r="E49" s="53" t="s">
        <v>938</v>
      </c>
      <c r="F49" s="7" t="s">
        <v>771</v>
      </c>
      <c r="G49" s="7">
        <v>33011</v>
      </c>
      <c r="H49" s="7" t="s">
        <v>686</v>
      </c>
      <c r="I49" s="7" t="s">
        <v>945</v>
      </c>
      <c r="J49" s="7" t="s">
        <v>686</v>
      </c>
      <c r="K49" s="7">
        <v>0</v>
      </c>
      <c r="L49" s="7" t="s">
        <v>686</v>
      </c>
      <c r="M49" s="7">
        <v>11</v>
      </c>
      <c r="N49" s="7" t="s">
        <v>686</v>
      </c>
      <c r="O49" s="7" t="s">
        <v>784</v>
      </c>
      <c r="P49" s="7" t="s">
        <v>773</v>
      </c>
      <c r="Q49" s="7" t="s">
        <v>776</v>
      </c>
      <c r="R49" s="7" t="s">
        <v>686</v>
      </c>
      <c r="S49" s="7" t="s">
        <v>246</v>
      </c>
      <c r="T49" s="7" t="s">
        <v>686</v>
      </c>
      <c r="U49" s="7" t="s">
        <v>1022</v>
      </c>
      <c r="V49" s="7" t="s">
        <v>772</v>
      </c>
      <c r="W49" s="7" t="s">
        <v>21</v>
      </c>
      <c r="X49" s="7" t="s">
        <v>771</v>
      </c>
      <c r="Y49" s="7" t="s">
        <v>685</v>
      </c>
      <c r="Z49" s="53"/>
      <c r="AA49" s="7" t="s">
        <v>761</v>
      </c>
    </row>
    <row r="50" spans="1:27" x14ac:dyDescent="0.25">
      <c r="A50" s="32" t="s">
        <v>684</v>
      </c>
      <c r="B50" s="27">
        <v>49</v>
      </c>
      <c r="C50" s="27" t="s">
        <v>686</v>
      </c>
      <c r="D50" s="32" t="s">
        <v>685</v>
      </c>
      <c r="E50" s="54" t="s">
        <v>883</v>
      </c>
      <c r="F50" s="27" t="s">
        <v>771</v>
      </c>
      <c r="G50" s="27">
        <v>35000</v>
      </c>
      <c r="H50" s="27" t="s">
        <v>686</v>
      </c>
      <c r="I50" s="27" t="s">
        <v>946</v>
      </c>
      <c r="J50" s="27" t="s">
        <v>686</v>
      </c>
      <c r="K50" s="27">
        <v>3</v>
      </c>
      <c r="L50" s="27" t="s">
        <v>686</v>
      </c>
      <c r="M50" s="27">
        <v>0</v>
      </c>
      <c r="N50" s="27" t="s">
        <v>686</v>
      </c>
      <c r="O50" s="27" t="s">
        <v>784</v>
      </c>
      <c r="P50" s="27" t="s">
        <v>773</v>
      </c>
      <c r="Q50" s="27" t="s">
        <v>776</v>
      </c>
      <c r="R50" s="27" t="s">
        <v>686</v>
      </c>
      <c r="S50" s="27" t="s">
        <v>770</v>
      </c>
      <c r="T50" s="27" t="s">
        <v>686</v>
      </c>
      <c r="U50" s="27" t="s">
        <v>1022</v>
      </c>
      <c r="V50" s="27" t="s">
        <v>772</v>
      </c>
      <c r="W50" s="27" t="s">
        <v>762</v>
      </c>
      <c r="X50" s="27" t="s">
        <v>771</v>
      </c>
      <c r="Y50" s="27" t="s">
        <v>685</v>
      </c>
      <c r="Z50" s="54"/>
      <c r="AA50" s="27" t="s">
        <v>761</v>
      </c>
    </row>
    <row r="51" spans="1:27" x14ac:dyDescent="0.25">
      <c r="A51" s="32" t="s">
        <v>684</v>
      </c>
      <c r="B51" s="27">
        <v>50</v>
      </c>
      <c r="C51" s="27" t="s">
        <v>686</v>
      </c>
      <c r="D51" s="32" t="s">
        <v>685</v>
      </c>
      <c r="E51" s="54" t="s">
        <v>884</v>
      </c>
      <c r="F51" s="27" t="s">
        <v>771</v>
      </c>
      <c r="G51" s="27">
        <v>35001</v>
      </c>
      <c r="H51" s="27" t="s">
        <v>686</v>
      </c>
      <c r="I51" s="27" t="s">
        <v>946</v>
      </c>
      <c r="J51" s="27" t="s">
        <v>686</v>
      </c>
      <c r="K51" s="27">
        <v>0</v>
      </c>
      <c r="L51" s="27" t="s">
        <v>686</v>
      </c>
      <c r="M51" s="27">
        <v>1</v>
      </c>
      <c r="N51" s="27" t="s">
        <v>686</v>
      </c>
      <c r="O51" s="27" t="s">
        <v>784</v>
      </c>
      <c r="P51" s="27" t="s">
        <v>773</v>
      </c>
      <c r="Q51" s="27" t="s">
        <v>776</v>
      </c>
      <c r="R51" s="27" t="s">
        <v>686</v>
      </c>
      <c r="S51" s="27" t="s">
        <v>770</v>
      </c>
      <c r="T51" s="27" t="s">
        <v>686</v>
      </c>
      <c r="U51" s="27" t="s">
        <v>1022</v>
      </c>
      <c r="V51" s="27" t="s">
        <v>772</v>
      </c>
      <c r="W51" s="27" t="s">
        <v>762</v>
      </c>
      <c r="X51" s="27" t="s">
        <v>771</v>
      </c>
      <c r="Y51" s="27" t="s">
        <v>685</v>
      </c>
      <c r="Z51" s="54"/>
      <c r="AA51" s="27" t="s">
        <v>761</v>
      </c>
    </row>
    <row r="52" spans="1:27" x14ac:dyDescent="0.25">
      <c r="A52" s="32" t="s">
        <v>684</v>
      </c>
      <c r="B52" s="27">
        <v>51</v>
      </c>
      <c r="C52" s="27" t="s">
        <v>686</v>
      </c>
      <c r="D52" s="32" t="s">
        <v>685</v>
      </c>
      <c r="E52" s="54" t="s">
        <v>885</v>
      </c>
      <c r="F52" s="27" t="s">
        <v>771</v>
      </c>
      <c r="G52" s="27">
        <v>35002</v>
      </c>
      <c r="H52" s="27" t="s">
        <v>686</v>
      </c>
      <c r="I52" s="27" t="s">
        <v>946</v>
      </c>
      <c r="J52" s="27" t="s">
        <v>686</v>
      </c>
      <c r="K52" s="27">
        <v>0</v>
      </c>
      <c r="L52" s="27" t="s">
        <v>686</v>
      </c>
      <c r="M52" s="27">
        <v>2</v>
      </c>
      <c r="N52" s="27" t="s">
        <v>686</v>
      </c>
      <c r="O52" s="27" t="s">
        <v>784</v>
      </c>
      <c r="P52" s="27" t="s">
        <v>773</v>
      </c>
      <c r="Q52" s="27" t="s">
        <v>776</v>
      </c>
      <c r="R52" s="27" t="s">
        <v>686</v>
      </c>
      <c r="S52" s="27" t="s">
        <v>770</v>
      </c>
      <c r="T52" s="27" t="s">
        <v>686</v>
      </c>
      <c r="U52" s="27" t="s">
        <v>1022</v>
      </c>
      <c r="V52" s="27" t="s">
        <v>772</v>
      </c>
      <c r="W52" s="27" t="s">
        <v>762</v>
      </c>
      <c r="X52" s="27" t="s">
        <v>771</v>
      </c>
      <c r="Y52" s="27" t="s">
        <v>685</v>
      </c>
      <c r="Z52" s="54"/>
      <c r="AA52" s="27" t="s">
        <v>761</v>
      </c>
    </row>
    <row r="53" spans="1:27" x14ac:dyDescent="0.25">
      <c r="A53" s="31" t="s">
        <v>684</v>
      </c>
      <c r="B53" s="7">
        <v>52</v>
      </c>
      <c r="C53" s="7" t="s">
        <v>686</v>
      </c>
      <c r="D53" s="31" t="s">
        <v>685</v>
      </c>
      <c r="E53" s="53" t="s">
        <v>886</v>
      </c>
      <c r="F53" s="7" t="s">
        <v>771</v>
      </c>
      <c r="G53" s="7">
        <v>35010</v>
      </c>
      <c r="H53" s="7" t="s">
        <v>686</v>
      </c>
      <c r="I53" s="7" t="s">
        <v>947</v>
      </c>
      <c r="J53" s="7" t="s">
        <v>686</v>
      </c>
      <c r="K53" s="7">
        <v>2</v>
      </c>
      <c r="L53" s="7" t="s">
        <v>686</v>
      </c>
      <c r="M53" s="7">
        <v>0</v>
      </c>
      <c r="N53" s="7" t="s">
        <v>686</v>
      </c>
      <c r="O53" s="7" t="s">
        <v>784</v>
      </c>
      <c r="P53" s="7" t="s">
        <v>773</v>
      </c>
      <c r="Q53" s="7" t="s">
        <v>776</v>
      </c>
      <c r="R53" s="7" t="s">
        <v>686</v>
      </c>
      <c r="S53" s="7" t="s">
        <v>770</v>
      </c>
      <c r="T53" s="7" t="s">
        <v>686</v>
      </c>
      <c r="U53" s="7" t="s">
        <v>1022</v>
      </c>
      <c r="V53" s="7" t="s">
        <v>772</v>
      </c>
      <c r="W53" s="7" t="s">
        <v>762</v>
      </c>
      <c r="X53" s="7" t="s">
        <v>771</v>
      </c>
      <c r="Y53" s="7" t="s">
        <v>685</v>
      </c>
      <c r="Z53" s="53"/>
      <c r="AA53" s="7" t="s">
        <v>761</v>
      </c>
    </row>
    <row r="54" spans="1:27" x14ac:dyDescent="0.25">
      <c r="A54" s="31" t="s">
        <v>684</v>
      </c>
      <c r="B54" s="7">
        <v>53</v>
      </c>
      <c r="C54" s="7" t="s">
        <v>686</v>
      </c>
      <c r="D54" s="31" t="s">
        <v>685</v>
      </c>
      <c r="E54" s="53" t="s">
        <v>887</v>
      </c>
      <c r="F54" s="7" t="s">
        <v>771</v>
      </c>
      <c r="G54" s="7">
        <v>35011</v>
      </c>
      <c r="H54" s="7" t="s">
        <v>686</v>
      </c>
      <c r="I54" s="7" t="s">
        <v>947</v>
      </c>
      <c r="J54" s="7" t="s">
        <v>686</v>
      </c>
      <c r="K54" s="7">
        <v>0</v>
      </c>
      <c r="L54" s="7" t="s">
        <v>686</v>
      </c>
      <c r="M54" s="7">
        <v>1</v>
      </c>
      <c r="N54" s="7" t="s">
        <v>686</v>
      </c>
      <c r="O54" s="7" t="s">
        <v>784</v>
      </c>
      <c r="P54" s="7" t="s">
        <v>773</v>
      </c>
      <c r="Q54" s="7" t="s">
        <v>776</v>
      </c>
      <c r="R54" s="7" t="s">
        <v>686</v>
      </c>
      <c r="S54" s="7" t="s">
        <v>770</v>
      </c>
      <c r="T54" s="7" t="s">
        <v>686</v>
      </c>
      <c r="U54" s="7" t="s">
        <v>1022</v>
      </c>
      <c r="V54" s="7" t="s">
        <v>772</v>
      </c>
      <c r="W54" s="7" t="s">
        <v>762</v>
      </c>
      <c r="X54" s="7" t="s">
        <v>771</v>
      </c>
      <c r="Y54" s="7" t="s">
        <v>685</v>
      </c>
      <c r="Z54" s="53"/>
      <c r="AA54" s="7" t="s">
        <v>761</v>
      </c>
    </row>
    <row r="55" spans="1:27" x14ac:dyDescent="0.25">
      <c r="A55" s="32" t="s">
        <v>684</v>
      </c>
      <c r="B55" s="27">
        <v>54</v>
      </c>
      <c r="C55" s="27" t="s">
        <v>686</v>
      </c>
      <c r="D55" s="32" t="s">
        <v>685</v>
      </c>
      <c r="E55" s="54" t="s">
        <v>888</v>
      </c>
      <c r="F55" s="27" t="s">
        <v>771</v>
      </c>
      <c r="G55" s="27">
        <v>35100</v>
      </c>
      <c r="H55" s="27" t="s">
        <v>686</v>
      </c>
      <c r="I55" s="27" t="s">
        <v>948</v>
      </c>
      <c r="J55" s="27" t="s">
        <v>686</v>
      </c>
      <c r="K55" s="27">
        <v>1</v>
      </c>
      <c r="L55" s="27" t="s">
        <v>686</v>
      </c>
      <c r="M55" s="27">
        <v>0</v>
      </c>
      <c r="N55" s="27" t="s">
        <v>686</v>
      </c>
      <c r="O55" s="27" t="s">
        <v>784</v>
      </c>
      <c r="P55" s="27" t="s">
        <v>773</v>
      </c>
      <c r="Q55" s="27" t="s">
        <v>776</v>
      </c>
      <c r="R55" s="27" t="s">
        <v>686</v>
      </c>
      <c r="S55" s="27">
        <v>1</v>
      </c>
      <c r="T55" s="27" t="s">
        <v>686</v>
      </c>
      <c r="U55" s="27" t="s">
        <v>1022</v>
      </c>
      <c r="V55" s="27" t="s">
        <v>772</v>
      </c>
      <c r="W55" s="27" t="s">
        <v>777</v>
      </c>
      <c r="X55" s="27" t="s">
        <v>771</v>
      </c>
      <c r="Y55" s="27" t="s">
        <v>685</v>
      </c>
      <c r="Z55" s="54"/>
      <c r="AA55" s="27" t="s">
        <v>761</v>
      </c>
    </row>
    <row r="56" spans="1:27" x14ac:dyDescent="0.25">
      <c r="A56" s="31" t="s">
        <v>684</v>
      </c>
      <c r="B56" s="7">
        <v>55</v>
      </c>
      <c r="C56" s="7" t="s">
        <v>686</v>
      </c>
      <c r="D56" s="31" t="s">
        <v>685</v>
      </c>
      <c r="E56" s="53" t="s">
        <v>889</v>
      </c>
      <c r="F56" s="7" t="s">
        <v>771</v>
      </c>
      <c r="G56" s="7">
        <v>35110</v>
      </c>
      <c r="H56" s="7" t="s">
        <v>686</v>
      </c>
      <c r="I56" s="7" t="s">
        <v>950</v>
      </c>
      <c r="J56" s="7" t="s">
        <v>686</v>
      </c>
      <c r="K56" s="7">
        <v>3</v>
      </c>
      <c r="L56" s="7" t="s">
        <v>686</v>
      </c>
      <c r="M56" s="7">
        <v>0</v>
      </c>
      <c r="N56" s="7" t="s">
        <v>686</v>
      </c>
      <c r="O56" s="7" t="s">
        <v>784</v>
      </c>
      <c r="P56" s="7" t="s">
        <v>773</v>
      </c>
      <c r="Q56" s="7" t="s">
        <v>776</v>
      </c>
      <c r="R56" s="7" t="s">
        <v>686</v>
      </c>
      <c r="S56" s="7">
        <v>100</v>
      </c>
      <c r="T56" s="7" t="s">
        <v>686</v>
      </c>
      <c r="U56" s="7" t="s">
        <v>1022</v>
      </c>
      <c r="V56" s="7" t="s">
        <v>772</v>
      </c>
      <c r="W56" s="7" t="s">
        <v>763</v>
      </c>
      <c r="X56" s="7" t="s">
        <v>771</v>
      </c>
      <c r="Y56" s="7" t="s">
        <v>685</v>
      </c>
      <c r="Z56" s="53"/>
      <c r="AA56" s="7" t="s">
        <v>761</v>
      </c>
    </row>
    <row r="57" spans="1:27" x14ac:dyDescent="0.25">
      <c r="A57" s="31" t="s">
        <v>684</v>
      </c>
      <c r="B57" s="7">
        <v>56</v>
      </c>
      <c r="C57" s="7" t="s">
        <v>686</v>
      </c>
      <c r="D57" s="31" t="s">
        <v>685</v>
      </c>
      <c r="E57" s="53" t="s">
        <v>890</v>
      </c>
      <c r="F57" s="7" t="s">
        <v>771</v>
      </c>
      <c r="G57" s="7">
        <v>35111</v>
      </c>
      <c r="H57" s="7" t="s">
        <v>686</v>
      </c>
      <c r="I57" s="7" t="s">
        <v>950</v>
      </c>
      <c r="J57" s="7" t="s">
        <v>686</v>
      </c>
      <c r="K57" s="7">
        <v>0</v>
      </c>
      <c r="L57" s="7" t="s">
        <v>686</v>
      </c>
      <c r="M57" s="7">
        <v>1</v>
      </c>
      <c r="N57" s="7" t="s">
        <v>686</v>
      </c>
      <c r="O57" s="7" t="s">
        <v>784</v>
      </c>
      <c r="P57" s="7" t="s">
        <v>773</v>
      </c>
      <c r="Q57" s="7" t="s">
        <v>776</v>
      </c>
      <c r="R57" s="7" t="s">
        <v>686</v>
      </c>
      <c r="S57" s="7">
        <v>100</v>
      </c>
      <c r="T57" s="7" t="s">
        <v>686</v>
      </c>
      <c r="U57" s="7" t="s">
        <v>1022</v>
      </c>
      <c r="V57" s="7" t="s">
        <v>772</v>
      </c>
      <c r="W57" s="7" t="s">
        <v>764</v>
      </c>
      <c r="X57" s="7" t="s">
        <v>771</v>
      </c>
      <c r="Y57" s="7" t="s">
        <v>685</v>
      </c>
      <c r="Z57" s="53"/>
      <c r="AA57" s="7" t="s">
        <v>761</v>
      </c>
    </row>
    <row r="58" spans="1:27" x14ac:dyDescent="0.25">
      <c r="A58" s="31" t="s">
        <v>684</v>
      </c>
      <c r="B58" s="7">
        <v>57</v>
      </c>
      <c r="C58" s="7" t="s">
        <v>686</v>
      </c>
      <c r="D58" s="31" t="s">
        <v>685</v>
      </c>
      <c r="E58" s="53" t="s">
        <v>1023</v>
      </c>
      <c r="F58" s="7" t="s">
        <v>771</v>
      </c>
      <c r="G58" s="7">
        <v>35112</v>
      </c>
      <c r="H58" s="7" t="s">
        <v>686</v>
      </c>
      <c r="I58" s="7" t="s">
        <v>950</v>
      </c>
      <c r="J58" s="7" t="s">
        <v>686</v>
      </c>
      <c r="K58" s="7">
        <v>0</v>
      </c>
      <c r="L58" s="7" t="s">
        <v>686</v>
      </c>
      <c r="M58" s="7">
        <v>2</v>
      </c>
      <c r="N58" s="7" t="s">
        <v>686</v>
      </c>
      <c r="O58" s="7" t="s">
        <v>784</v>
      </c>
      <c r="P58" s="7" t="s">
        <v>773</v>
      </c>
      <c r="Q58" s="7" t="s">
        <v>776</v>
      </c>
      <c r="R58" s="7" t="s">
        <v>686</v>
      </c>
      <c r="S58" s="7">
        <v>100</v>
      </c>
      <c r="T58" s="7" t="s">
        <v>686</v>
      </c>
      <c r="U58" s="7" t="s">
        <v>1022</v>
      </c>
      <c r="V58" s="7" t="s">
        <v>772</v>
      </c>
      <c r="W58" s="7" t="s">
        <v>764</v>
      </c>
      <c r="X58" s="7" t="s">
        <v>771</v>
      </c>
      <c r="Y58" s="7" t="s">
        <v>685</v>
      </c>
      <c r="Z58" s="53"/>
      <c r="AA58" s="7" t="s">
        <v>761</v>
      </c>
    </row>
    <row r="59" spans="1:27" x14ac:dyDescent="0.25">
      <c r="A59" s="32" t="s">
        <v>684</v>
      </c>
      <c r="B59" s="27">
        <v>58</v>
      </c>
      <c r="C59" s="27" t="s">
        <v>686</v>
      </c>
      <c r="D59" s="32" t="s">
        <v>685</v>
      </c>
      <c r="E59" s="54" t="s">
        <v>892</v>
      </c>
      <c r="F59" s="27" t="s">
        <v>771</v>
      </c>
      <c r="G59" s="27">
        <v>36000</v>
      </c>
      <c r="H59" s="27" t="s">
        <v>686</v>
      </c>
      <c r="I59" s="27" t="s">
        <v>954</v>
      </c>
      <c r="J59" s="27" t="s">
        <v>686</v>
      </c>
      <c r="K59" s="27">
        <v>1</v>
      </c>
      <c r="L59" s="27" t="s">
        <v>686</v>
      </c>
      <c r="M59" s="27">
        <v>0</v>
      </c>
      <c r="N59" s="27" t="s">
        <v>686</v>
      </c>
      <c r="O59" s="27" t="s">
        <v>784</v>
      </c>
      <c r="P59" s="27" t="s">
        <v>778</v>
      </c>
      <c r="Q59" s="27" t="s">
        <v>776</v>
      </c>
      <c r="R59" s="27" t="s">
        <v>686</v>
      </c>
      <c r="S59" s="27">
        <v>1</v>
      </c>
      <c r="T59" s="27" t="s">
        <v>686</v>
      </c>
      <c r="U59" s="27" t="s">
        <v>1022</v>
      </c>
      <c r="V59" s="27" t="s">
        <v>772</v>
      </c>
      <c r="W59" s="27" t="s">
        <v>777</v>
      </c>
      <c r="X59" s="27" t="s">
        <v>771</v>
      </c>
      <c r="Y59" s="27" t="s">
        <v>685</v>
      </c>
      <c r="Z59" s="54" t="s">
        <v>1035</v>
      </c>
      <c r="AA59" s="27" t="s">
        <v>761</v>
      </c>
    </row>
    <row r="60" spans="1:27" x14ac:dyDescent="0.25">
      <c r="A60" s="31" t="s">
        <v>684</v>
      </c>
      <c r="B60" s="7">
        <v>59</v>
      </c>
      <c r="C60" s="7" t="s">
        <v>686</v>
      </c>
      <c r="D60" s="31" t="s">
        <v>685</v>
      </c>
      <c r="E60" s="53" t="s">
        <v>961</v>
      </c>
      <c r="F60" s="7" t="s">
        <v>771</v>
      </c>
      <c r="G60" s="7">
        <v>36100</v>
      </c>
      <c r="H60" s="7" t="s">
        <v>686</v>
      </c>
      <c r="I60" s="7" t="s">
        <v>955</v>
      </c>
      <c r="J60" s="7" t="s">
        <v>686</v>
      </c>
      <c r="K60" s="7">
        <v>2</v>
      </c>
      <c r="L60" s="7" t="s">
        <v>686</v>
      </c>
      <c r="M60" s="7">
        <v>0</v>
      </c>
      <c r="N60" s="7" t="s">
        <v>686</v>
      </c>
      <c r="O60" s="7" t="s">
        <v>784</v>
      </c>
      <c r="P60" s="7" t="s">
        <v>778</v>
      </c>
      <c r="Q60" s="7" t="s">
        <v>776</v>
      </c>
      <c r="R60" s="7" t="s">
        <v>686</v>
      </c>
      <c r="S60" s="7">
        <v>1</v>
      </c>
      <c r="T60" s="7" t="s">
        <v>686</v>
      </c>
      <c r="U60" s="7" t="s">
        <v>1022</v>
      </c>
      <c r="V60" s="7" t="s">
        <v>772</v>
      </c>
      <c r="W60" s="7" t="s">
        <v>777</v>
      </c>
      <c r="X60" s="7" t="s">
        <v>771</v>
      </c>
      <c r="Y60" s="7" t="s">
        <v>685</v>
      </c>
      <c r="Z60" s="53" t="s">
        <v>1034</v>
      </c>
      <c r="AA60" s="7" t="s">
        <v>761</v>
      </c>
    </row>
    <row r="61" spans="1:27" x14ac:dyDescent="0.25">
      <c r="A61" s="31" t="s">
        <v>684</v>
      </c>
      <c r="B61" s="7">
        <v>60</v>
      </c>
      <c r="C61" s="7" t="s">
        <v>686</v>
      </c>
      <c r="D61" s="31" t="s">
        <v>685</v>
      </c>
      <c r="E61" s="53" t="s">
        <v>960</v>
      </c>
      <c r="F61" s="7" t="s">
        <v>771</v>
      </c>
      <c r="G61" s="7">
        <v>36101</v>
      </c>
      <c r="H61" s="7" t="s">
        <v>686</v>
      </c>
      <c r="I61" s="7" t="s">
        <v>955</v>
      </c>
      <c r="J61" s="7" t="s">
        <v>686</v>
      </c>
      <c r="K61" s="7">
        <v>0</v>
      </c>
      <c r="L61" s="7" t="s">
        <v>686</v>
      </c>
      <c r="M61" s="7">
        <v>1</v>
      </c>
      <c r="N61" s="7" t="s">
        <v>686</v>
      </c>
      <c r="O61" s="7" t="s">
        <v>784</v>
      </c>
      <c r="P61" s="7" t="s">
        <v>778</v>
      </c>
      <c r="Q61" s="7" t="s">
        <v>776</v>
      </c>
      <c r="R61" s="7" t="s">
        <v>686</v>
      </c>
      <c r="S61" s="7">
        <v>1</v>
      </c>
      <c r="T61" s="7" t="s">
        <v>686</v>
      </c>
      <c r="U61" s="7" t="s">
        <v>1022</v>
      </c>
      <c r="V61" s="7" t="s">
        <v>772</v>
      </c>
      <c r="W61" s="7" t="s">
        <v>777</v>
      </c>
      <c r="X61" s="7" t="s">
        <v>771</v>
      </c>
      <c r="Y61" s="7" t="s">
        <v>685</v>
      </c>
      <c r="Z61" s="53" t="s">
        <v>1034</v>
      </c>
      <c r="AA61" s="7" t="s">
        <v>761</v>
      </c>
    </row>
    <row r="62" spans="1:27" x14ac:dyDescent="0.25">
      <c r="A62" s="32" t="s">
        <v>684</v>
      </c>
      <c r="B62" s="27">
        <v>61</v>
      </c>
      <c r="C62" s="27" t="s">
        <v>686</v>
      </c>
      <c r="D62" s="32" t="s">
        <v>685</v>
      </c>
      <c r="E62" s="54" t="s">
        <v>894</v>
      </c>
      <c r="F62" s="27" t="s">
        <v>771</v>
      </c>
      <c r="G62" s="27">
        <v>41000</v>
      </c>
      <c r="H62" s="27" t="s">
        <v>686</v>
      </c>
      <c r="I62" s="27" t="s">
        <v>949</v>
      </c>
      <c r="J62" s="27" t="s">
        <v>686</v>
      </c>
      <c r="K62" s="27">
        <v>1</v>
      </c>
      <c r="L62" s="27" t="s">
        <v>686</v>
      </c>
      <c r="M62" s="27">
        <v>0</v>
      </c>
      <c r="N62" s="27" t="s">
        <v>686</v>
      </c>
      <c r="O62" s="27" t="s">
        <v>785</v>
      </c>
      <c r="P62" s="27" t="s">
        <v>773</v>
      </c>
      <c r="Q62" s="27" t="s">
        <v>776</v>
      </c>
      <c r="R62" s="27" t="s">
        <v>686</v>
      </c>
      <c r="S62" s="27">
        <v>1</v>
      </c>
      <c r="T62" s="27" t="s">
        <v>686</v>
      </c>
      <c r="U62" s="27" t="s">
        <v>1022</v>
      </c>
      <c r="V62" s="27" t="s">
        <v>772</v>
      </c>
      <c r="W62" s="27" t="s">
        <v>777</v>
      </c>
      <c r="X62" s="27" t="s">
        <v>771</v>
      </c>
      <c r="Y62" s="27" t="s">
        <v>685</v>
      </c>
      <c r="Z62" s="54" t="s">
        <v>1027</v>
      </c>
      <c r="AA62" s="27" t="s">
        <v>761</v>
      </c>
    </row>
    <row r="63" spans="1:27" x14ac:dyDescent="0.25">
      <c r="A63" s="31" t="s">
        <v>684</v>
      </c>
      <c r="B63" s="7">
        <v>62</v>
      </c>
      <c r="C63" s="7" t="s">
        <v>686</v>
      </c>
      <c r="D63" s="31" t="s">
        <v>685</v>
      </c>
      <c r="E63" s="53" t="s">
        <v>895</v>
      </c>
      <c r="F63" s="7" t="s">
        <v>771</v>
      </c>
      <c r="G63" s="7">
        <v>41100</v>
      </c>
      <c r="H63" s="7" t="s">
        <v>686</v>
      </c>
      <c r="I63" s="7" t="s">
        <v>956</v>
      </c>
      <c r="J63" s="7" t="s">
        <v>686</v>
      </c>
      <c r="K63" s="7">
        <v>1</v>
      </c>
      <c r="L63" s="7" t="s">
        <v>686</v>
      </c>
      <c r="M63" s="7">
        <v>0</v>
      </c>
      <c r="N63" s="7" t="s">
        <v>686</v>
      </c>
      <c r="O63" s="7" t="s">
        <v>785</v>
      </c>
      <c r="P63" s="7" t="s">
        <v>773</v>
      </c>
      <c r="Q63" s="7" t="s">
        <v>776</v>
      </c>
      <c r="R63" s="7" t="s">
        <v>686</v>
      </c>
      <c r="S63" s="7">
        <v>1</v>
      </c>
      <c r="T63" s="7" t="s">
        <v>686</v>
      </c>
      <c r="U63" s="7" t="s">
        <v>1022</v>
      </c>
      <c r="V63" s="7" t="s">
        <v>772</v>
      </c>
      <c r="W63" s="7" t="s">
        <v>777</v>
      </c>
      <c r="X63" s="7" t="s">
        <v>771</v>
      </c>
      <c r="Y63" s="7" t="s">
        <v>685</v>
      </c>
      <c r="Z63" s="53" t="s">
        <v>1028</v>
      </c>
      <c r="AA63" s="7" t="s">
        <v>761</v>
      </c>
    </row>
    <row r="64" spans="1:27" x14ac:dyDescent="0.25">
      <c r="A64" s="32" t="s">
        <v>684</v>
      </c>
      <c r="B64" s="27">
        <v>63</v>
      </c>
      <c r="C64" s="27" t="s">
        <v>686</v>
      </c>
      <c r="D64" s="32" t="s">
        <v>685</v>
      </c>
      <c r="E64" s="54" t="s">
        <v>896</v>
      </c>
      <c r="F64" s="27" t="s">
        <v>771</v>
      </c>
      <c r="G64" s="27">
        <v>41200</v>
      </c>
      <c r="H64" s="27" t="s">
        <v>686</v>
      </c>
      <c r="I64" s="27" t="s">
        <v>958</v>
      </c>
      <c r="J64" s="27" t="s">
        <v>686</v>
      </c>
      <c r="K64" s="27">
        <v>1</v>
      </c>
      <c r="L64" s="27" t="s">
        <v>686</v>
      </c>
      <c r="M64" s="27">
        <v>0</v>
      </c>
      <c r="N64" s="27" t="s">
        <v>686</v>
      </c>
      <c r="O64" s="27" t="s">
        <v>785</v>
      </c>
      <c r="P64" s="27" t="s">
        <v>773</v>
      </c>
      <c r="Q64" s="27" t="s">
        <v>776</v>
      </c>
      <c r="R64" s="27" t="s">
        <v>686</v>
      </c>
      <c r="S64" s="27">
        <v>1</v>
      </c>
      <c r="T64" s="27" t="s">
        <v>686</v>
      </c>
      <c r="U64" s="27" t="s">
        <v>1022</v>
      </c>
      <c r="V64" s="27" t="s">
        <v>772</v>
      </c>
      <c r="W64" s="27" t="s">
        <v>777</v>
      </c>
      <c r="X64" s="27" t="s">
        <v>771</v>
      </c>
      <c r="Y64" s="27" t="s">
        <v>685</v>
      </c>
      <c r="Z64" s="54" t="s">
        <v>1029</v>
      </c>
      <c r="AA64" s="27" t="s">
        <v>761</v>
      </c>
    </row>
    <row r="65" spans="1:27" x14ac:dyDescent="0.25">
      <c r="A65" s="31" t="s">
        <v>684</v>
      </c>
      <c r="B65" s="7">
        <v>64</v>
      </c>
      <c r="C65" s="7" t="s">
        <v>686</v>
      </c>
      <c r="D65" s="31" t="s">
        <v>685</v>
      </c>
      <c r="E65" s="53" t="s">
        <v>897</v>
      </c>
      <c r="F65" s="7" t="s">
        <v>771</v>
      </c>
      <c r="G65" s="7">
        <v>42000</v>
      </c>
      <c r="H65" s="7" t="s">
        <v>686</v>
      </c>
      <c r="I65" s="7" t="s">
        <v>951</v>
      </c>
      <c r="J65" s="7" t="s">
        <v>686</v>
      </c>
      <c r="K65" s="7">
        <v>1</v>
      </c>
      <c r="L65" s="7" t="s">
        <v>686</v>
      </c>
      <c r="M65" s="7">
        <v>0</v>
      </c>
      <c r="N65" s="7" t="s">
        <v>686</v>
      </c>
      <c r="O65" s="7" t="s">
        <v>785</v>
      </c>
      <c r="P65" s="7" t="s">
        <v>773</v>
      </c>
      <c r="Q65" s="7" t="s">
        <v>776</v>
      </c>
      <c r="R65" s="7" t="s">
        <v>686</v>
      </c>
      <c r="S65" s="7">
        <v>1</v>
      </c>
      <c r="T65" s="7" t="s">
        <v>686</v>
      </c>
      <c r="U65" s="7" t="s">
        <v>1022</v>
      </c>
      <c r="V65" s="7" t="s">
        <v>772</v>
      </c>
      <c r="W65" s="7" t="s">
        <v>777</v>
      </c>
      <c r="X65" s="7" t="s">
        <v>771</v>
      </c>
      <c r="Y65" s="7" t="s">
        <v>685</v>
      </c>
      <c r="Z65" s="53" t="s">
        <v>1033</v>
      </c>
      <c r="AA65" s="7" t="s">
        <v>761</v>
      </c>
    </row>
    <row r="66" spans="1:27" x14ac:dyDescent="0.25">
      <c r="A66" s="32" t="s">
        <v>684</v>
      </c>
      <c r="B66" s="27">
        <v>65</v>
      </c>
      <c r="C66" s="27" t="s">
        <v>686</v>
      </c>
      <c r="D66" s="32" t="s">
        <v>685</v>
      </c>
      <c r="E66" s="54" t="s">
        <v>888</v>
      </c>
      <c r="F66" s="27" t="s">
        <v>771</v>
      </c>
      <c r="G66" s="27">
        <v>42010</v>
      </c>
      <c r="H66" s="27" t="s">
        <v>686</v>
      </c>
      <c r="I66" s="27" t="s">
        <v>957</v>
      </c>
      <c r="J66" s="27" t="s">
        <v>686</v>
      </c>
      <c r="K66" s="27">
        <v>2</v>
      </c>
      <c r="L66" s="27" t="s">
        <v>686</v>
      </c>
      <c r="M66" s="27">
        <v>0</v>
      </c>
      <c r="N66" s="27" t="s">
        <v>686</v>
      </c>
      <c r="O66" s="27" t="s">
        <v>785</v>
      </c>
      <c r="P66" s="27" t="s">
        <v>773</v>
      </c>
      <c r="Q66" s="27" t="s">
        <v>776</v>
      </c>
      <c r="R66" s="27" t="s">
        <v>686</v>
      </c>
      <c r="S66" s="27">
        <v>1</v>
      </c>
      <c r="T66" s="27" t="s">
        <v>686</v>
      </c>
      <c r="U66" s="27" t="s">
        <v>1022</v>
      </c>
      <c r="V66" s="27" t="s">
        <v>772</v>
      </c>
      <c r="W66" s="27" t="s">
        <v>777</v>
      </c>
      <c r="X66" s="27" t="s">
        <v>771</v>
      </c>
      <c r="Y66" s="27" t="s">
        <v>685</v>
      </c>
      <c r="Z66" s="54" t="s">
        <v>1030</v>
      </c>
      <c r="AA66" s="27" t="s">
        <v>761</v>
      </c>
    </row>
    <row r="67" spans="1:27" x14ac:dyDescent="0.25">
      <c r="A67" s="32" t="s">
        <v>684</v>
      </c>
      <c r="B67" s="27">
        <v>66</v>
      </c>
      <c r="C67" s="27" t="s">
        <v>686</v>
      </c>
      <c r="D67" s="32" t="s">
        <v>685</v>
      </c>
      <c r="E67" s="54" t="s">
        <v>898</v>
      </c>
      <c r="F67" s="27" t="s">
        <v>771</v>
      </c>
      <c r="G67" s="27">
        <v>42011</v>
      </c>
      <c r="H67" s="27" t="s">
        <v>686</v>
      </c>
      <c r="I67" s="27" t="s">
        <v>957</v>
      </c>
      <c r="J67" s="27" t="s">
        <v>686</v>
      </c>
      <c r="K67" s="27">
        <v>0</v>
      </c>
      <c r="L67" s="27" t="s">
        <v>686</v>
      </c>
      <c r="M67" s="27">
        <v>1</v>
      </c>
      <c r="N67" s="27" t="s">
        <v>686</v>
      </c>
      <c r="O67" s="27" t="s">
        <v>785</v>
      </c>
      <c r="P67" s="27" t="s">
        <v>773</v>
      </c>
      <c r="Q67" s="27" t="s">
        <v>776</v>
      </c>
      <c r="R67" s="27" t="s">
        <v>686</v>
      </c>
      <c r="S67" s="27" t="s">
        <v>246</v>
      </c>
      <c r="T67" s="27" t="s">
        <v>686</v>
      </c>
      <c r="U67" s="27" t="s">
        <v>1022</v>
      </c>
      <c r="V67" s="27" t="s">
        <v>772</v>
      </c>
      <c r="W67" s="27" t="s">
        <v>777</v>
      </c>
      <c r="X67" s="27" t="s">
        <v>771</v>
      </c>
      <c r="Y67" s="27" t="s">
        <v>685</v>
      </c>
      <c r="Z67" s="54" t="s">
        <v>1031</v>
      </c>
      <c r="AA67" s="27" t="s">
        <v>761</v>
      </c>
    </row>
    <row r="68" spans="1:27" x14ac:dyDescent="0.25">
      <c r="A68" s="31" t="s">
        <v>684</v>
      </c>
      <c r="B68" s="7">
        <v>67</v>
      </c>
      <c r="C68" s="7" t="s">
        <v>686</v>
      </c>
      <c r="D68" s="31" t="s">
        <v>685</v>
      </c>
      <c r="E68" s="53" t="s">
        <v>899</v>
      </c>
      <c r="F68" s="7" t="s">
        <v>771</v>
      </c>
      <c r="G68" s="7">
        <v>42020</v>
      </c>
      <c r="H68" s="7" t="s">
        <v>686</v>
      </c>
      <c r="I68" s="7" t="s">
        <v>953</v>
      </c>
      <c r="J68" s="7" t="s">
        <v>686</v>
      </c>
      <c r="K68" s="7">
        <v>2</v>
      </c>
      <c r="L68" s="7" t="s">
        <v>686</v>
      </c>
      <c r="M68" s="7">
        <v>0</v>
      </c>
      <c r="N68" s="7" t="s">
        <v>686</v>
      </c>
      <c r="O68" s="7" t="s">
        <v>785</v>
      </c>
      <c r="P68" s="7" t="s">
        <v>773</v>
      </c>
      <c r="Q68" s="7" t="s">
        <v>776</v>
      </c>
      <c r="R68" s="7" t="s">
        <v>686</v>
      </c>
      <c r="S68" s="7">
        <v>1</v>
      </c>
      <c r="T68" s="7" t="s">
        <v>686</v>
      </c>
      <c r="U68" s="7" t="s">
        <v>1022</v>
      </c>
      <c r="V68" s="7" t="s">
        <v>772</v>
      </c>
      <c r="W68" s="7" t="s">
        <v>765</v>
      </c>
      <c r="X68" s="7" t="s">
        <v>771</v>
      </c>
      <c r="Y68" s="7" t="s">
        <v>685</v>
      </c>
      <c r="Z68" s="53" t="s">
        <v>1024</v>
      </c>
      <c r="AA68" s="7" t="s">
        <v>761</v>
      </c>
    </row>
    <row r="69" spans="1:27" x14ac:dyDescent="0.25">
      <c r="A69" s="31" t="s">
        <v>684</v>
      </c>
      <c r="B69" s="7">
        <v>68</v>
      </c>
      <c r="C69" s="7" t="s">
        <v>686</v>
      </c>
      <c r="D69" s="31" t="s">
        <v>685</v>
      </c>
      <c r="E69" s="53" t="s">
        <v>900</v>
      </c>
      <c r="F69" s="7" t="s">
        <v>771</v>
      </c>
      <c r="G69" s="7">
        <v>42021</v>
      </c>
      <c r="H69" s="7" t="s">
        <v>686</v>
      </c>
      <c r="I69" s="7" t="s">
        <v>953</v>
      </c>
      <c r="J69" s="7" t="s">
        <v>686</v>
      </c>
      <c r="K69" s="7">
        <v>0</v>
      </c>
      <c r="L69" s="7" t="s">
        <v>686</v>
      </c>
      <c r="M69" s="7">
        <v>1</v>
      </c>
      <c r="N69" s="7" t="s">
        <v>686</v>
      </c>
      <c r="O69" s="7" t="s">
        <v>785</v>
      </c>
      <c r="P69" s="7" t="s">
        <v>773</v>
      </c>
      <c r="Q69" s="7" t="s">
        <v>776</v>
      </c>
      <c r="R69" s="7" t="s">
        <v>686</v>
      </c>
      <c r="S69" s="7">
        <v>1</v>
      </c>
      <c r="T69" s="7" t="s">
        <v>686</v>
      </c>
      <c r="U69" s="7" t="s">
        <v>1022</v>
      </c>
      <c r="V69" s="7" t="s">
        <v>772</v>
      </c>
      <c r="W69" s="7" t="s">
        <v>765</v>
      </c>
      <c r="X69" s="7" t="s">
        <v>771</v>
      </c>
      <c r="Y69" s="7" t="s">
        <v>685</v>
      </c>
      <c r="Z69" s="53" t="s">
        <v>1024</v>
      </c>
      <c r="AA69" s="7" t="s">
        <v>761</v>
      </c>
    </row>
    <row r="70" spans="1:27" x14ac:dyDescent="0.25">
      <c r="A70" s="32" t="s">
        <v>684</v>
      </c>
      <c r="B70" s="27">
        <v>69</v>
      </c>
      <c r="C70" s="27" t="s">
        <v>686</v>
      </c>
      <c r="D70" s="32" t="s">
        <v>685</v>
      </c>
      <c r="E70" s="54" t="s">
        <v>901</v>
      </c>
      <c r="F70" s="27" t="s">
        <v>771</v>
      </c>
      <c r="G70" s="27">
        <v>43000</v>
      </c>
      <c r="H70" s="27" t="s">
        <v>686</v>
      </c>
      <c r="I70" s="27" t="s">
        <v>952</v>
      </c>
      <c r="J70" s="27" t="s">
        <v>686</v>
      </c>
      <c r="K70" s="27">
        <v>1</v>
      </c>
      <c r="L70" s="27" t="s">
        <v>686</v>
      </c>
      <c r="M70" s="27">
        <v>0</v>
      </c>
      <c r="N70" s="27" t="s">
        <v>686</v>
      </c>
      <c r="O70" s="27" t="s">
        <v>785</v>
      </c>
      <c r="P70" s="27" t="s">
        <v>773</v>
      </c>
      <c r="Q70" s="27" t="s">
        <v>776</v>
      </c>
      <c r="R70" s="27" t="s">
        <v>686</v>
      </c>
      <c r="S70" s="27">
        <v>1</v>
      </c>
      <c r="T70" s="27" t="s">
        <v>686</v>
      </c>
      <c r="U70" s="27" t="s">
        <v>1022</v>
      </c>
      <c r="V70" s="27" t="s">
        <v>772</v>
      </c>
      <c r="W70" s="27" t="s">
        <v>777</v>
      </c>
      <c r="X70" s="27" t="s">
        <v>771</v>
      </c>
      <c r="Y70" s="27" t="s">
        <v>685</v>
      </c>
      <c r="Z70" s="54" t="s">
        <v>1032</v>
      </c>
      <c r="AA70" s="27" t="s">
        <v>761</v>
      </c>
    </row>
    <row r="71" spans="1:27" x14ac:dyDescent="0.25">
      <c r="A71" s="31" t="s">
        <v>684</v>
      </c>
      <c r="B71" s="7">
        <v>70</v>
      </c>
      <c r="C71" s="7" t="s">
        <v>686</v>
      </c>
      <c r="D71" s="31" t="s">
        <v>685</v>
      </c>
      <c r="E71" s="53" t="s">
        <v>902</v>
      </c>
      <c r="F71" s="7" t="s">
        <v>771</v>
      </c>
      <c r="G71" s="7">
        <v>44000</v>
      </c>
      <c r="H71" s="7" t="s">
        <v>686</v>
      </c>
      <c r="I71" s="7" t="s">
        <v>959</v>
      </c>
      <c r="J71" s="7" t="s">
        <v>686</v>
      </c>
      <c r="K71" s="7">
        <v>4</v>
      </c>
      <c r="L71" s="7" t="s">
        <v>686</v>
      </c>
      <c r="M71" s="7">
        <v>0</v>
      </c>
      <c r="N71" s="7" t="s">
        <v>686</v>
      </c>
      <c r="O71" s="7" t="s">
        <v>785</v>
      </c>
      <c r="P71" s="7" t="s">
        <v>773</v>
      </c>
      <c r="Q71" s="7" t="s">
        <v>776</v>
      </c>
      <c r="R71" s="7" t="s">
        <v>686</v>
      </c>
      <c r="S71" s="7" t="s">
        <v>770</v>
      </c>
      <c r="T71" s="7" t="s">
        <v>686</v>
      </c>
      <c r="U71" s="7" t="s">
        <v>1022</v>
      </c>
      <c r="V71" s="7" t="s">
        <v>772</v>
      </c>
      <c r="W71" s="7" t="s">
        <v>766</v>
      </c>
      <c r="X71" s="7" t="s">
        <v>771</v>
      </c>
      <c r="Y71" s="7" t="s">
        <v>685</v>
      </c>
      <c r="Z71" s="53" t="s">
        <v>1026</v>
      </c>
      <c r="AA71" s="7" t="s">
        <v>761</v>
      </c>
    </row>
    <row r="72" spans="1:27" x14ac:dyDescent="0.25">
      <c r="A72" s="31" t="s">
        <v>684</v>
      </c>
      <c r="B72" s="7">
        <v>71</v>
      </c>
      <c r="C72" s="7" t="s">
        <v>686</v>
      </c>
      <c r="D72" s="31" t="s">
        <v>685</v>
      </c>
      <c r="E72" s="53" t="s">
        <v>903</v>
      </c>
      <c r="F72" s="7" t="s">
        <v>771</v>
      </c>
      <c r="G72" s="7">
        <v>44001</v>
      </c>
      <c r="H72" s="7" t="s">
        <v>686</v>
      </c>
      <c r="I72" s="7" t="s">
        <v>959</v>
      </c>
      <c r="J72" s="7" t="s">
        <v>686</v>
      </c>
      <c r="K72" s="7">
        <v>0</v>
      </c>
      <c r="L72" s="7" t="s">
        <v>686</v>
      </c>
      <c r="M72" s="7">
        <v>1</v>
      </c>
      <c r="N72" s="7" t="s">
        <v>686</v>
      </c>
      <c r="O72" s="7" t="s">
        <v>785</v>
      </c>
      <c r="P72" s="7" t="s">
        <v>773</v>
      </c>
      <c r="Q72" s="7" t="s">
        <v>776</v>
      </c>
      <c r="R72" s="7" t="s">
        <v>686</v>
      </c>
      <c r="S72" s="7" t="s">
        <v>770</v>
      </c>
      <c r="T72" s="7" t="s">
        <v>686</v>
      </c>
      <c r="U72" s="7" t="s">
        <v>1022</v>
      </c>
      <c r="V72" s="7" t="s">
        <v>772</v>
      </c>
      <c r="W72" s="7" t="s">
        <v>766</v>
      </c>
      <c r="X72" s="7" t="s">
        <v>771</v>
      </c>
      <c r="Y72" s="7" t="s">
        <v>685</v>
      </c>
      <c r="Z72" s="53" t="s">
        <v>1025</v>
      </c>
      <c r="AA72" s="7" t="s">
        <v>761</v>
      </c>
    </row>
    <row r="73" spans="1:27" x14ac:dyDescent="0.25">
      <c r="A73" s="31" t="s">
        <v>684</v>
      </c>
      <c r="B73" s="7">
        <v>72</v>
      </c>
      <c r="C73" s="7" t="s">
        <v>686</v>
      </c>
      <c r="D73" s="31" t="s">
        <v>685</v>
      </c>
      <c r="E73" s="53" t="s">
        <v>904</v>
      </c>
      <c r="F73" s="7" t="s">
        <v>771</v>
      </c>
      <c r="G73" s="7">
        <v>44002</v>
      </c>
      <c r="H73" s="7" t="s">
        <v>686</v>
      </c>
      <c r="I73" s="7" t="s">
        <v>959</v>
      </c>
      <c r="J73" s="7" t="s">
        <v>686</v>
      </c>
      <c r="K73" s="7">
        <v>0</v>
      </c>
      <c r="L73" s="7" t="s">
        <v>686</v>
      </c>
      <c r="M73" s="7">
        <v>2</v>
      </c>
      <c r="N73" s="7" t="s">
        <v>686</v>
      </c>
      <c r="O73" s="7" t="s">
        <v>785</v>
      </c>
      <c r="P73" s="7" t="s">
        <v>773</v>
      </c>
      <c r="Q73" s="7" t="s">
        <v>776</v>
      </c>
      <c r="R73" s="7" t="s">
        <v>686</v>
      </c>
      <c r="S73" s="7">
        <v>1</v>
      </c>
      <c r="T73" s="7" t="s">
        <v>686</v>
      </c>
      <c r="U73" s="7" t="s">
        <v>1022</v>
      </c>
      <c r="V73" s="7" t="s">
        <v>772</v>
      </c>
      <c r="W73" s="7" t="s">
        <v>765</v>
      </c>
      <c r="X73" s="7" t="s">
        <v>771</v>
      </c>
      <c r="Y73" s="7" t="s">
        <v>685</v>
      </c>
      <c r="Z73" s="53" t="s">
        <v>1024</v>
      </c>
      <c r="AA73" s="7" t="s">
        <v>761</v>
      </c>
    </row>
    <row r="74" spans="1:27" x14ac:dyDescent="0.25">
      <c r="A74" s="31" t="s">
        <v>684</v>
      </c>
      <c r="B74" s="7">
        <v>73</v>
      </c>
      <c r="C74" s="7" t="s">
        <v>686</v>
      </c>
      <c r="D74" s="31" t="s">
        <v>685</v>
      </c>
      <c r="E74" s="53" t="s">
        <v>905</v>
      </c>
      <c r="F74" s="7" t="s">
        <v>771</v>
      </c>
      <c r="G74" s="7">
        <v>44003</v>
      </c>
      <c r="H74" s="7" t="s">
        <v>686</v>
      </c>
      <c r="I74" s="7" t="s">
        <v>959</v>
      </c>
      <c r="J74" s="7" t="s">
        <v>686</v>
      </c>
      <c r="K74" s="7">
        <v>0</v>
      </c>
      <c r="L74" s="7" t="s">
        <v>686</v>
      </c>
      <c r="M74" s="7">
        <v>3</v>
      </c>
      <c r="N74" s="7" t="s">
        <v>686</v>
      </c>
      <c r="O74" s="7" t="s">
        <v>785</v>
      </c>
      <c r="P74" s="7" t="s">
        <v>773</v>
      </c>
      <c r="Q74" s="7" t="s">
        <v>776</v>
      </c>
      <c r="R74" s="7" t="s">
        <v>686</v>
      </c>
      <c r="S74" s="7">
        <v>1</v>
      </c>
      <c r="T74" s="7" t="s">
        <v>686</v>
      </c>
      <c r="U74" s="7" t="s">
        <v>1022</v>
      </c>
      <c r="V74" s="7" t="s">
        <v>772</v>
      </c>
      <c r="W74" s="7" t="s">
        <v>765</v>
      </c>
      <c r="X74" s="7" t="s">
        <v>771</v>
      </c>
      <c r="Y74" s="7" t="s">
        <v>685</v>
      </c>
      <c r="Z74" s="53" t="s">
        <v>1024</v>
      </c>
      <c r="AA74" s="7" t="s">
        <v>760</v>
      </c>
    </row>
    <row r="75" spans="1:27" x14ac:dyDescent="0.25">
      <c r="F75" s="1"/>
    </row>
    <row r="76" spans="1:27" x14ac:dyDescent="0.25">
      <c r="F76" s="1"/>
    </row>
    <row r="77" spans="1:27" x14ac:dyDescent="0.25">
      <c r="F77" s="1"/>
    </row>
    <row r="78" spans="1:27" x14ac:dyDescent="0.25">
      <c r="F78" s="1"/>
    </row>
    <row r="79" spans="1:27" x14ac:dyDescent="0.25">
      <c r="F7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F20C-45A0-47C0-996F-0BCD18A70840}">
  <dimension ref="A1:E14"/>
  <sheetViews>
    <sheetView zoomScale="115" zoomScaleNormal="115" workbookViewId="0">
      <selection activeCell="E3" sqref="E3"/>
    </sheetView>
  </sheetViews>
  <sheetFormatPr defaultRowHeight="15" x14ac:dyDescent="0.25"/>
  <cols>
    <col min="1" max="1" width="22.28515625" customWidth="1"/>
    <col min="5" max="5" width="43.5703125" customWidth="1"/>
  </cols>
  <sheetData>
    <row r="1" spans="1:5" x14ac:dyDescent="0.25">
      <c r="A1" s="16" t="s">
        <v>975</v>
      </c>
      <c r="B1" s="16"/>
      <c r="C1" s="16"/>
      <c r="D1" s="16"/>
      <c r="E1" s="16"/>
    </row>
    <row r="2" spans="1:5" x14ac:dyDescent="0.25">
      <c r="A2" s="44" t="s">
        <v>1011</v>
      </c>
      <c r="B2" s="45" t="s">
        <v>121</v>
      </c>
      <c r="C2" s="7">
        <v>0</v>
      </c>
      <c r="D2" s="7" t="s">
        <v>976</v>
      </c>
      <c r="E2" s="46" t="s">
        <v>1021</v>
      </c>
    </row>
    <row r="3" spans="1:5" x14ac:dyDescent="0.25">
      <c r="A3" s="44" t="s">
        <v>1009</v>
      </c>
      <c r="B3" s="45" t="s">
        <v>121</v>
      </c>
      <c r="C3" s="7">
        <v>1</v>
      </c>
      <c r="D3" s="7" t="s">
        <v>976</v>
      </c>
      <c r="E3" s="46" t="s">
        <v>999</v>
      </c>
    </row>
    <row r="4" spans="1:5" x14ac:dyDescent="0.25">
      <c r="A4" s="44" t="s">
        <v>1010</v>
      </c>
      <c r="B4" s="45" t="s">
        <v>121</v>
      </c>
      <c r="C4" s="7">
        <v>2</v>
      </c>
      <c r="D4" s="7" t="s">
        <v>976</v>
      </c>
      <c r="E4" s="16" t="s">
        <v>998</v>
      </c>
    </row>
    <row r="5" spans="1:5" x14ac:dyDescent="0.25">
      <c r="A5" s="44" t="s">
        <v>1012</v>
      </c>
      <c r="B5" s="45" t="s">
        <v>121</v>
      </c>
      <c r="C5" s="7">
        <v>3</v>
      </c>
      <c r="D5" s="7" t="s">
        <v>976</v>
      </c>
      <c r="E5" s="16" t="s">
        <v>1000</v>
      </c>
    </row>
    <row r="6" spans="1:5" x14ac:dyDescent="0.25">
      <c r="A6" s="44" t="s">
        <v>1013</v>
      </c>
      <c r="B6" s="45" t="s">
        <v>121</v>
      </c>
      <c r="C6" s="7">
        <v>4</v>
      </c>
      <c r="D6" s="7" t="s">
        <v>976</v>
      </c>
      <c r="E6" s="16" t="s">
        <v>1001</v>
      </c>
    </row>
    <row r="7" spans="1:5" x14ac:dyDescent="0.25">
      <c r="A7" s="44" t="s">
        <v>1014</v>
      </c>
      <c r="B7" s="45" t="s">
        <v>121</v>
      </c>
      <c r="C7" s="7">
        <v>5</v>
      </c>
      <c r="D7" s="7" t="s">
        <v>976</v>
      </c>
      <c r="E7" s="16" t="s">
        <v>1002</v>
      </c>
    </row>
    <row r="8" spans="1:5" x14ac:dyDescent="0.25">
      <c r="A8" s="44" t="s">
        <v>1015</v>
      </c>
      <c r="B8" s="45" t="s">
        <v>121</v>
      </c>
      <c r="C8" s="7">
        <v>6</v>
      </c>
      <c r="D8" s="7" t="s">
        <v>976</v>
      </c>
      <c r="E8" s="16" t="s">
        <v>1003</v>
      </c>
    </row>
    <row r="9" spans="1:5" x14ac:dyDescent="0.25">
      <c r="A9" s="44" t="s">
        <v>1016</v>
      </c>
      <c r="B9" s="45" t="s">
        <v>121</v>
      </c>
      <c r="C9" s="7">
        <v>7</v>
      </c>
      <c r="D9" s="7" t="s">
        <v>976</v>
      </c>
      <c r="E9" s="16" t="s">
        <v>1004</v>
      </c>
    </row>
    <row r="10" spans="1:5" x14ac:dyDescent="0.25">
      <c r="A10" s="44" t="s">
        <v>1017</v>
      </c>
      <c r="B10" s="45" t="s">
        <v>121</v>
      </c>
      <c r="C10" s="7">
        <v>8</v>
      </c>
      <c r="D10" s="7" t="s">
        <v>976</v>
      </c>
      <c r="E10" s="16" t="s">
        <v>1005</v>
      </c>
    </row>
    <row r="11" spans="1:5" x14ac:dyDescent="0.25">
      <c r="A11" s="44" t="s">
        <v>1018</v>
      </c>
      <c r="B11" s="45" t="s">
        <v>121</v>
      </c>
      <c r="C11" s="7">
        <v>9</v>
      </c>
      <c r="D11" s="7" t="s">
        <v>976</v>
      </c>
      <c r="E11" s="16" t="s">
        <v>1006</v>
      </c>
    </row>
    <row r="12" spans="1:5" x14ac:dyDescent="0.25">
      <c r="A12" s="44" t="s">
        <v>1019</v>
      </c>
      <c r="B12" s="45" t="s">
        <v>121</v>
      </c>
      <c r="C12" s="7">
        <v>10</v>
      </c>
      <c r="D12" s="7" t="s">
        <v>976</v>
      </c>
      <c r="E12" s="16" t="s">
        <v>1007</v>
      </c>
    </row>
    <row r="13" spans="1:5" x14ac:dyDescent="0.25">
      <c r="A13" s="44" t="s">
        <v>1020</v>
      </c>
      <c r="B13" s="45" t="s">
        <v>121</v>
      </c>
      <c r="C13" s="7">
        <v>11</v>
      </c>
      <c r="D13" s="7" t="s">
        <v>976</v>
      </c>
      <c r="E13" s="16" t="s">
        <v>1008</v>
      </c>
    </row>
    <row r="14" spans="1:5" x14ac:dyDescent="0.25">
      <c r="C1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6FAA-E93D-4300-AD1A-48A88DF24D50}">
  <sheetPr codeName="Sheet18"/>
  <dimension ref="A1:V51"/>
  <sheetViews>
    <sheetView workbookViewId="0">
      <selection activeCell="N19" sqref="N19"/>
    </sheetView>
  </sheetViews>
  <sheetFormatPr defaultRowHeight="15" x14ac:dyDescent="0.25"/>
  <cols>
    <col min="2" max="2" width="28" bestFit="1" customWidth="1"/>
    <col min="3" max="3" width="2.28515625" bestFit="1" customWidth="1"/>
    <col min="4" max="4" width="6" style="1" bestFit="1" customWidth="1"/>
    <col min="5" max="5" width="1.5703125" style="1" bestFit="1" customWidth="1"/>
    <col min="6" max="6" width="6.7109375" style="1" bestFit="1" customWidth="1"/>
    <col min="7" max="7" width="1.5703125" style="1" bestFit="1" customWidth="1"/>
    <col min="8" max="8" width="5.42578125" style="1" customWidth="1"/>
    <col min="9" max="9" width="1.5703125" style="1" bestFit="1" customWidth="1"/>
    <col min="10" max="10" width="7.85546875" style="1" bestFit="1" customWidth="1"/>
    <col min="11" max="11" width="1.5703125" style="1" bestFit="1" customWidth="1"/>
    <col min="12" max="12" width="5.85546875" style="1" bestFit="1" customWidth="1"/>
    <col min="13" max="13" width="6.5703125" style="1" bestFit="1" customWidth="1"/>
    <col min="14" max="14" width="11.5703125" style="1" bestFit="1" customWidth="1"/>
    <col min="15" max="15" width="1.5703125" style="1" bestFit="1" customWidth="1"/>
    <col min="16" max="16" width="6.85546875" style="1" bestFit="1" customWidth="1"/>
    <col min="17" max="17" width="2.28515625" style="1" bestFit="1" customWidth="1"/>
    <col min="18" max="18" width="6.42578125" style="1" bestFit="1" customWidth="1"/>
    <col min="19" max="19" width="2.28515625" style="1" bestFit="1" customWidth="1"/>
    <col min="20" max="20" width="1.7109375" style="1" bestFit="1" customWidth="1"/>
    <col min="21" max="21" width="15.5703125" style="1" bestFit="1" customWidth="1"/>
    <col min="22" max="22" width="2.85546875" style="1" bestFit="1" customWidth="1"/>
  </cols>
  <sheetData>
    <row r="1" spans="1:22" x14ac:dyDescent="0.25">
      <c r="A1" s="42" t="s">
        <v>684</v>
      </c>
      <c r="B1" s="40" t="s">
        <v>962</v>
      </c>
      <c r="C1" s="40"/>
      <c r="D1" s="41" t="s">
        <v>963</v>
      </c>
      <c r="E1" s="41"/>
      <c r="F1" s="41" t="s">
        <v>965</v>
      </c>
      <c r="G1" s="41"/>
      <c r="H1" s="41" t="s">
        <v>973</v>
      </c>
      <c r="I1" s="41"/>
      <c r="J1" s="41" t="s">
        <v>966</v>
      </c>
      <c r="K1" s="41"/>
      <c r="L1" s="41" t="s">
        <v>967</v>
      </c>
      <c r="M1" s="41" t="s">
        <v>968</v>
      </c>
      <c r="N1" s="41" t="s">
        <v>974</v>
      </c>
      <c r="O1" s="41"/>
      <c r="P1" s="41" t="s">
        <v>970</v>
      </c>
      <c r="Q1" s="41"/>
      <c r="R1" s="41" t="s">
        <v>971</v>
      </c>
      <c r="S1" s="41"/>
      <c r="T1" s="41"/>
      <c r="U1" s="41" t="s">
        <v>972</v>
      </c>
      <c r="V1" s="41" t="s">
        <v>920</v>
      </c>
    </row>
    <row r="2" spans="1:22" x14ac:dyDescent="0.25">
      <c r="A2" s="31" t="s">
        <v>688</v>
      </c>
      <c r="B2" s="31" t="s">
        <v>862</v>
      </c>
      <c r="C2" s="7" t="s">
        <v>771</v>
      </c>
      <c r="D2" s="7">
        <v>31000</v>
      </c>
      <c r="E2" s="7" t="s">
        <v>686</v>
      </c>
      <c r="F2" s="7">
        <v>1</v>
      </c>
      <c r="G2" s="7" t="s">
        <v>686</v>
      </c>
      <c r="H2" s="7">
        <v>10</v>
      </c>
      <c r="I2" s="7" t="s">
        <v>686</v>
      </c>
      <c r="J2" s="7">
        <v>0</v>
      </c>
      <c r="K2" s="7" t="s">
        <v>686</v>
      </c>
      <c r="L2" s="7" t="s">
        <v>784</v>
      </c>
      <c r="M2" s="7" t="s">
        <v>774</v>
      </c>
      <c r="N2" s="7" t="s">
        <v>786</v>
      </c>
      <c r="O2" s="7" t="s">
        <v>686</v>
      </c>
      <c r="P2" s="7">
        <v>1</v>
      </c>
      <c r="Q2" s="7" t="s">
        <v>772</v>
      </c>
      <c r="R2" s="7" t="s">
        <v>777</v>
      </c>
      <c r="S2" s="7" t="s">
        <v>771</v>
      </c>
      <c r="T2" s="7" t="s">
        <v>685</v>
      </c>
      <c r="U2" s="7"/>
      <c r="V2" s="7" t="s">
        <v>761</v>
      </c>
    </row>
    <row r="3" spans="1:22" x14ac:dyDescent="0.25">
      <c r="A3" s="32" t="s">
        <v>688</v>
      </c>
      <c r="B3" s="32" t="s">
        <v>863</v>
      </c>
      <c r="C3" s="27" t="s">
        <v>771</v>
      </c>
      <c r="D3" s="27">
        <v>31100</v>
      </c>
      <c r="E3" s="27" t="s">
        <v>686</v>
      </c>
      <c r="F3" s="27">
        <v>1</v>
      </c>
      <c r="G3" s="27" t="s">
        <v>686</v>
      </c>
      <c r="H3" s="27">
        <v>1</v>
      </c>
      <c r="I3" s="27" t="s">
        <v>686</v>
      </c>
      <c r="J3" s="27">
        <v>0</v>
      </c>
      <c r="K3" s="27" t="s">
        <v>686</v>
      </c>
      <c r="L3" s="27" t="s">
        <v>784</v>
      </c>
      <c r="M3" s="27" t="s">
        <v>773</v>
      </c>
      <c r="N3" s="27" t="s">
        <v>786</v>
      </c>
      <c r="O3" s="27" t="s">
        <v>686</v>
      </c>
      <c r="P3" s="27" t="s">
        <v>246</v>
      </c>
      <c r="Q3" s="27" t="s">
        <v>772</v>
      </c>
      <c r="R3" s="27" t="s">
        <v>777</v>
      </c>
      <c r="S3" s="27" t="s">
        <v>771</v>
      </c>
      <c r="T3" s="27" t="s">
        <v>685</v>
      </c>
      <c r="U3" s="27"/>
      <c r="V3" s="27" t="s">
        <v>761</v>
      </c>
    </row>
    <row r="4" spans="1:22" x14ac:dyDescent="0.25">
      <c r="A4" s="31" t="s">
        <v>688</v>
      </c>
      <c r="B4" s="31" t="s">
        <v>864</v>
      </c>
      <c r="C4" s="7" t="s">
        <v>771</v>
      </c>
      <c r="D4" s="7">
        <v>31200</v>
      </c>
      <c r="E4" s="7" t="s">
        <v>686</v>
      </c>
      <c r="F4" s="7">
        <v>1</v>
      </c>
      <c r="G4" s="7" t="s">
        <v>686</v>
      </c>
      <c r="H4" s="7">
        <v>10</v>
      </c>
      <c r="I4" s="7" t="s">
        <v>686</v>
      </c>
      <c r="J4" s="7">
        <v>0</v>
      </c>
      <c r="K4" s="7" t="s">
        <v>686</v>
      </c>
      <c r="L4" s="7" t="s">
        <v>784</v>
      </c>
      <c r="M4" s="7" t="s">
        <v>774</v>
      </c>
      <c r="N4" s="7" t="s">
        <v>786</v>
      </c>
      <c r="O4" s="7" t="s">
        <v>686</v>
      </c>
      <c r="P4" s="7">
        <v>1</v>
      </c>
      <c r="Q4" s="7" t="s">
        <v>772</v>
      </c>
      <c r="R4" s="7" t="s">
        <v>777</v>
      </c>
      <c r="S4" s="7" t="s">
        <v>771</v>
      </c>
      <c r="T4" s="7" t="s">
        <v>685</v>
      </c>
      <c r="U4" s="7"/>
      <c r="V4" s="7" t="s">
        <v>761</v>
      </c>
    </row>
    <row r="5" spans="1:22" x14ac:dyDescent="0.25">
      <c r="A5" s="32" t="s">
        <v>688</v>
      </c>
      <c r="B5" s="32" t="s">
        <v>865</v>
      </c>
      <c r="C5" s="27" t="s">
        <v>771</v>
      </c>
      <c r="D5" s="27">
        <v>32100</v>
      </c>
      <c r="E5" s="27" t="s">
        <v>686</v>
      </c>
      <c r="F5" s="27">
        <v>6</v>
      </c>
      <c r="G5" s="27" t="s">
        <v>686</v>
      </c>
      <c r="H5" s="27">
        <v>1</v>
      </c>
      <c r="I5" s="27" t="s">
        <v>686</v>
      </c>
      <c r="J5" s="27">
        <v>0</v>
      </c>
      <c r="K5" s="27" t="s">
        <v>686</v>
      </c>
      <c r="L5" s="27" t="s">
        <v>784</v>
      </c>
      <c r="M5" s="27" t="s">
        <v>773</v>
      </c>
      <c r="N5" s="27" t="s">
        <v>786</v>
      </c>
      <c r="O5" s="27" t="s">
        <v>686</v>
      </c>
      <c r="P5" s="27" t="s">
        <v>246</v>
      </c>
      <c r="Q5" s="27" t="s">
        <v>772</v>
      </c>
      <c r="R5" s="27" t="s">
        <v>767</v>
      </c>
      <c r="S5" s="27" t="s">
        <v>771</v>
      </c>
      <c r="T5" s="27" t="s">
        <v>685</v>
      </c>
      <c r="U5" s="27"/>
      <c r="V5" s="27" t="s">
        <v>761</v>
      </c>
    </row>
    <row r="6" spans="1:22" x14ac:dyDescent="0.25">
      <c r="A6" s="32" t="s">
        <v>688</v>
      </c>
      <c r="B6" s="32" t="s">
        <v>866</v>
      </c>
      <c r="C6" s="27" t="s">
        <v>771</v>
      </c>
      <c r="D6" s="27">
        <v>32101</v>
      </c>
      <c r="E6" s="27" t="s">
        <v>686</v>
      </c>
      <c r="F6" s="27">
        <v>0</v>
      </c>
      <c r="G6" s="27" t="s">
        <v>686</v>
      </c>
      <c r="H6" s="27">
        <v>1</v>
      </c>
      <c r="I6" s="27" t="s">
        <v>686</v>
      </c>
      <c r="J6" s="27">
        <v>1</v>
      </c>
      <c r="K6" s="27" t="s">
        <v>686</v>
      </c>
      <c r="L6" s="27" t="s">
        <v>784</v>
      </c>
      <c r="M6" s="27" t="s">
        <v>775</v>
      </c>
      <c r="N6" s="27" t="s">
        <v>786</v>
      </c>
      <c r="O6" s="27" t="s">
        <v>686</v>
      </c>
      <c r="P6" s="27" t="s">
        <v>246</v>
      </c>
      <c r="Q6" s="27" t="s">
        <v>772</v>
      </c>
      <c r="R6" s="27" t="s">
        <v>768</v>
      </c>
      <c r="S6" s="27" t="s">
        <v>771</v>
      </c>
      <c r="T6" s="27" t="s">
        <v>685</v>
      </c>
      <c r="U6" s="27"/>
      <c r="V6" s="27" t="s">
        <v>761</v>
      </c>
    </row>
    <row r="7" spans="1:22" x14ac:dyDescent="0.25">
      <c r="A7" s="32" t="s">
        <v>688</v>
      </c>
      <c r="B7" s="32" t="s">
        <v>867</v>
      </c>
      <c r="C7" s="27" t="s">
        <v>771</v>
      </c>
      <c r="D7" s="27">
        <v>32102</v>
      </c>
      <c r="E7" s="27" t="s">
        <v>686</v>
      </c>
      <c r="F7" s="27">
        <v>0</v>
      </c>
      <c r="G7" s="27" t="s">
        <v>686</v>
      </c>
      <c r="H7" s="27">
        <v>2</v>
      </c>
      <c r="I7" s="27" t="s">
        <v>686</v>
      </c>
      <c r="J7" s="27">
        <v>2</v>
      </c>
      <c r="K7" s="27" t="s">
        <v>686</v>
      </c>
      <c r="L7" s="27" t="s">
        <v>784</v>
      </c>
      <c r="M7" s="27" t="s">
        <v>775</v>
      </c>
      <c r="N7" s="27" t="s">
        <v>786</v>
      </c>
      <c r="O7" s="27" t="s">
        <v>686</v>
      </c>
      <c r="P7" s="27">
        <v>1</v>
      </c>
      <c r="Q7" s="27" t="s">
        <v>772</v>
      </c>
      <c r="R7" s="27" t="s">
        <v>765</v>
      </c>
      <c r="S7" s="27" t="s">
        <v>771</v>
      </c>
      <c r="T7" s="27" t="s">
        <v>685</v>
      </c>
      <c r="U7" s="27" t="s">
        <v>906</v>
      </c>
      <c r="V7" s="27" t="s">
        <v>761</v>
      </c>
    </row>
    <row r="8" spans="1:22" x14ac:dyDescent="0.25">
      <c r="A8" s="32" t="s">
        <v>688</v>
      </c>
      <c r="B8" s="32" t="s">
        <v>868</v>
      </c>
      <c r="C8" s="27" t="s">
        <v>771</v>
      </c>
      <c r="D8" s="27">
        <v>32104</v>
      </c>
      <c r="E8" s="27" t="s">
        <v>686</v>
      </c>
      <c r="F8" s="27">
        <v>0</v>
      </c>
      <c r="G8" s="27" t="s">
        <v>686</v>
      </c>
      <c r="H8" s="27">
        <v>1</v>
      </c>
      <c r="I8" s="27" t="s">
        <v>686</v>
      </c>
      <c r="J8" s="27">
        <v>4</v>
      </c>
      <c r="K8" s="27" t="s">
        <v>686</v>
      </c>
      <c r="L8" s="27" t="s">
        <v>784</v>
      </c>
      <c r="M8" s="27" t="s">
        <v>773</v>
      </c>
      <c r="N8" s="27" t="s">
        <v>786</v>
      </c>
      <c r="O8" s="27" t="s">
        <v>686</v>
      </c>
      <c r="P8" s="27" t="s">
        <v>770</v>
      </c>
      <c r="Q8" s="27" t="s">
        <v>772</v>
      </c>
      <c r="R8" s="27" t="s">
        <v>766</v>
      </c>
      <c r="S8" s="27" t="s">
        <v>771</v>
      </c>
      <c r="T8" s="27" t="s">
        <v>685</v>
      </c>
      <c r="U8" s="27"/>
      <c r="V8" s="27" t="s">
        <v>761</v>
      </c>
    </row>
    <row r="9" spans="1:22" x14ac:dyDescent="0.25">
      <c r="A9" s="32" t="s">
        <v>688</v>
      </c>
      <c r="B9" s="32" t="s">
        <v>869</v>
      </c>
      <c r="C9" s="27" t="s">
        <v>771</v>
      </c>
      <c r="D9" s="27">
        <v>32105</v>
      </c>
      <c r="E9" s="27" t="s">
        <v>686</v>
      </c>
      <c r="F9" s="27">
        <v>0</v>
      </c>
      <c r="G9" s="27" t="s">
        <v>686</v>
      </c>
      <c r="H9" s="27">
        <v>1</v>
      </c>
      <c r="I9" s="27" t="s">
        <v>686</v>
      </c>
      <c r="J9" s="27">
        <v>5</v>
      </c>
      <c r="K9" s="27" t="s">
        <v>686</v>
      </c>
      <c r="L9" s="27" t="s">
        <v>784</v>
      </c>
      <c r="M9" s="27" t="s">
        <v>773</v>
      </c>
      <c r="N9" s="27" t="s">
        <v>786</v>
      </c>
      <c r="O9" s="27" t="s">
        <v>686</v>
      </c>
      <c r="P9" s="27">
        <v>0.01</v>
      </c>
      <c r="Q9" s="27" t="s">
        <v>772</v>
      </c>
      <c r="R9" s="27" t="s">
        <v>21</v>
      </c>
      <c r="S9" s="27" t="s">
        <v>771</v>
      </c>
      <c r="T9" s="27" t="s">
        <v>685</v>
      </c>
      <c r="U9" s="27"/>
      <c r="V9" s="27" t="s">
        <v>761</v>
      </c>
    </row>
    <row r="10" spans="1:22" x14ac:dyDescent="0.25">
      <c r="A10" s="31" t="s">
        <v>688</v>
      </c>
      <c r="B10" s="31" t="s">
        <v>870</v>
      </c>
      <c r="C10" s="7" t="s">
        <v>771</v>
      </c>
      <c r="D10" s="7">
        <v>32200</v>
      </c>
      <c r="E10" s="7" t="s">
        <v>686</v>
      </c>
      <c r="F10" s="7">
        <v>5</v>
      </c>
      <c r="G10" s="7" t="s">
        <v>686</v>
      </c>
      <c r="H10" s="7">
        <v>1</v>
      </c>
      <c r="I10" s="7" t="s">
        <v>686</v>
      </c>
      <c r="J10" s="7">
        <v>0</v>
      </c>
      <c r="K10" s="7" t="s">
        <v>686</v>
      </c>
      <c r="L10" s="7" t="s">
        <v>784</v>
      </c>
      <c r="M10" s="7" t="s">
        <v>773</v>
      </c>
      <c r="N10" s="7" t="s">
        <v>786</v>
      </c>
      <c r="O10" s="7" t="s">
        <v>686</v>
      </c>
      <c r="P10" s="7" t="s">
        <v>770</v>
      </c>
      <c r="Q10" s="7" t="s">
        <v>772</v>
      </c>
      <c r="R10" s="7" t="s">
        <v>767</v>
      </c>
      <c r="S10" s="7" t="s">
        <v>771</v>
      </c>
      <c r="T10" s="7" t="s">
        <v>685</v>
      </c>
      <c r="U10" s="7"/>
      <c r="V10" s="7" t="s">
        <v>761</v>
      </c>
    </row>
    <row r="11" spans="1:22" x14ac:dyDescent="0.25">
      <c r="A11" s="31" t="s">
        <v>688</v>
      </c>
      <c r="B11" s="31" t="s">
        <v>871</v>
      </c>
      <c r="C11" s="7" t="s">
        <v>771</v>
      </c>
      <c r="D11" s="7">
        <v>32201</v>
      </c>
      <c r="E11" s="7" t="s">
        <v>686</v>
      </c>
      <c r="F11" s="7">
        <v>0</v>
      </c>
      <c r="G11" s="7" t="s">
        <v>686</v>
      </c>
      <c r="H11" s="7">
        <v>1</v>
      </c>
      <c r="I11" s="7" t="s">
        <v>686</v>
      </c>
      <c r="J11" s="7">
        <v>1</v>
      </c>
      <c r="K11" s="7" t="s">
        <v>686</v>
      </c>
      <c r="L11" s="7" t="s">
        <v>784</v>
      </c>
      <c r="M11" s="7" t="s">
        <v>773</v>
      </c>
      <c r="N11" s="7" t="s">
        <v>786</v>
      </c>
      <c r="O11" s="7" t="s">
        <v>686</v>
      </c>
      <c r="P11" s="7" t="s">
        <v>246</v>
      </c>
      <c r="Q11" s="7" t="s">
        <v>772</v>
      </c>
      <c r="R11" s="7" t="s">
        <v>768</v>
      </c>
      <c r="S11" s="7" t="s">
        <v>771</v>
      </c>
      <c r="T11" s="7" t="s">
        <v>685</v>
      </c>
      <c r="U11" s="7"/>
      <c r="V11" s="7" t="s">
        <v>761</v>
      </c>
    </row>
    <row r="12" spans="1:22" x14ac:dyDescent="0.25">
      <c r="A12" s="31" t="s">
        <v>688</v>
      </c>
      <c r="B12" s="31" t="s">
        <v>872</v>
      </c>
      <c r="C12" s="7" t="s">
        <v>771</v>
      </c>
      <c r="D12" s="7">
        <v>32202</v>
      </c>
      <c r="E12" s="7" t="s">
        <v>686</v>
      </c>
      <c r="F12" s="7">
        <v>0</v>
      </c>
      <c r="G12" s="7" t="s">
        <v>686</v>
      </c>
      <c r="H12" s="7">
        <v>2</v>
      </c>
      <c r="I12" s="7" t="s">
        <v>686</v>
      </c>
      <c r="J12" s="7">
        <v>2</v>
      </c>
      <c r="K12" s="7" t="s">
        <v>686</v>
      </c>
      <c r="L12" s="7" t="s">
        <v>784</v>
      </c>
      <c r="M12" s="7" t="s">
        <v>775</v>
      </c>
      <c r="N12" s="7" t="s">
        <v>786</v>
      </c>
      <c r="O12" s="7" t="s">
        <v>686</v>
      </c>
      <c r="P12" s="7">
        <v>1</v>
      </c>
      <c r="Q12" s="7" t="s">
        <v>772</v>
      </c>
      <c r="R12" s="7" t="s">
        <v>765</v>
      </c>
      <c r="S12" s="7" t="s">
        <v>771</v>
      </c>
      <c r="T12" s="7" t="s">
        <v>685</v>
      </c>
      <c r="U12" s="7" t="s">
        <v>907</v>
      </c>
      <c r="V12" s="7" t="s">
        <v>761</v>
      </c>
    </row>
    <row r="13" spans="1:22" x14ac:dyDescent="0.25">
      <c r="A13" s="31" t="s">
        <v>688</v>
      </c>
      <c r="B13" s="31" t="s">
        <v>873</v>
      </c>
      <c r="C13" s="7" t="s">
        <v>771</v>
      </c>
      <c r="D13" s="7">
        <v>32204</v>
      </c>
      <c r="E13" s="7" t="s">
        <v>686</v>
      </c>
      <c r="F13" s="7">
        <v>0</v>
      </c>
      <c r="G13" s="7" t="s">
        <v>686</v>
      </c>
      <c r="H13" s="7">
        <v>1</v>
      </c>
      <c r="I13" s="7" t="s">
        <v>686</v>
      </c>
      <c r="J13" s="7">
        <v>4</v>
      </c>
      <c r="K13" s="7" t="s">
        <v>686</v>
      </c>
      <c r="L13" s="7" t="s">
        <v>784</v>
      </c>
      <c r="M13" s="7" t="s">
        <v>773</v>
      </c>
      <c r="N13" s="7" t="s">
        <v>786</v>
      </c>
      <c r="O13" s="7" t="s">
        <v>686</v>
      </c>
      <c r="P13" s="7" t="s">
        <v>246</v>
      </c>
      <c r="Q13" s="7" t="s">
        <v>772</v>
      </c>
      <c r="R13" s="7" t="s">
        <v>769</v>
      </c>
      <c r="S13" s="7" t="s">
        <v>771</v>
      </c>
      <c r="T13" s="7" t="s">
        <v>685</v>
      </c>
      <c r="U13" s="7"/>
      <c r="V13" s="7" t="s">
        <v>761</v>
      </c>
    </row>
    <row r="14" spans="1:22" x14ac:dyDescent="0.25">
      <c r="A14" s="32" t="s">
        <v>688</v>
      </c>
      <c r="B14" s="32" t="s">
        <v>874</v>
      </c>
      <c r="C14" s="27" t="s">
        <v>771</v>
      </c>
      <c r="D14" s="27">
        <v>32300</v>
      </c>
      <c r="E14" s="27" t="s">
        <v>686</v>
      </c>
      <c r="F14" s="27">
        <v>4</v>
      </c>
      <c r="G14" s="27" t="s">
        <v>686</v>
      </c>
      <c r="H14" s="27">
        <v>1</v>
      </c>
      <c r="I14" s="27" t="s">
        <v>686</v>
      </c>
      <c r="J14" s="27">
        <v>0</v>
      </c>
      <c r="K14" s="27" t="s">
        <v>686</v>
      </c>
      <c r="L14" s="27" t="s">
        <v>784</v>
      </c>
      <c r="M14" s="27" t="s">
        <v>773</v>
      </c>
      <c r="N14" s="27" t="s">
        <v>786</v>
      </c>
      <c r="O14" s="27" t="s">
        <v>686</v>
      </c>
      <c r="P14" s="27" t="s">
        <v>770</v>
      </c>
      <c r="Q14" s="27" t="s">
        <v>772</v>
      </c>
      <c r="R14" s="27" t="s">
        <v>767</v>
      </c>
      <c r="S14" s="27" t="s">
        <v>771</v>
      </c>
      <c r="T14" s="27" t="s">
        <v>685</v>
      </c>
      <c r="U14" s="27"/>
      <c r="V14" s="27" t="s">
        <v>761</v>
      </c>
    </row>
    <row r="15" spans="1:22" x14ac:dyDescent="0.25">
      <c r="A15" s="32" t="s">
        <v>688</v>
      </c>
      <c r="B15" s="32" t="s">
        <v>875</v>
      </c>
      <c r="C15" s="27" t="s">
        <v>771</v>
      </c>
      <c r="D15" s="27">
        <v>32301</v>
      </c>
      <c r="E15" s="27" t="s">
        <v>686</v>
      </c>
      <c r="F15" s="27">
        <v>0</v>
      </c>
      <c r="G15" s="27" t="s">
        <v>686</v>
      </c>
      <c r="H15" s="27">
        <v>1</v>
      </c>
      <c r="I15" s="27" t="s">
        <v>686</v>
      </c>
      <c r="J15" s="27">
        <v>1</v>
      </c>
      <c r="K15" s="27" t="s">
        <v>686</v>
      </c>
      <c r="L15" s="27" t="s">
        <v>784</v>
      </c>
      <c r="M15" s="27" t="s">
        <v>773</v>
      </c>
      <c r="N15" s="27" t="s">
        <v>786</v>
      </c>
      <c r="O15" s="27" t="s">
        <v>686</v>
      </c>
      <c r="P15" s="27" t="s">
        <v>246</v>
      </c>
      <c r="Q15" s="27" t="s">
        <v>772</v>
      </c>
      <c r="R15" s="27" t="s">
        <v>768</v>
      </c>
      <c r="S15" s="27" t="s">
        <v>771</v>
      </c>
      <c r="T15" s="27" t="s">
        <v>685</v>
      </c>
      <c r="U15" s="27"/>
      <c r="V15" s="27" t="s">
        <v>761</v>
      </c>
    </row>
    <row r="16" spans="1:22" x14ac:dyDescent="0.25">
      <c r="A16" s="32" t="s">
        <v>688</v>
      </c>
      <c r="B16" s="32" t="s">
        <v>876</v>
      </c>
      <c r="C16" s="27" t="s">
        <v>771</v>
      </c>
      <c r="D16" s="27">
        <v>32302</v>
      </c>
      <c r="E16" s="27" t="s">
        <v>686</v>
      </c>
      <c r="F16" s="27">
        <v>0</v>
      </c>
      <c r="G16" s="27" t="s">
        <v>686</v>
      </c>
      <c r="H16" s="27">
        <v>2</v>
      </c>
      <c r="I16" s="27" t="s">
        <v>686</v>
      </c>
      <c r="J16" s="27">
        <v>2</v>
      </c>
      <c r="K16" s="27" t="s">
        <v>686</v>
      </c>
      <c r="L16" s="27" t="s">
        <v>784</v>
      </c>
      <c r="M16" s="27" t="s">
        <v>775</v>
      </c>
      <c r="N16" s="27" t="s">
        <v>786</v>
      </c>
      <c r="O16" s="27" t="s">
        <v>686</v>
      </c>
      <c r="P16" s="27">
        <v>1</v>
      </c>
      <c r="Q16" s="27" t="s">
        <v>772</v>
      </c>
      <c r="R16" s="27" t="s">
        <v>765</v>
      </c>
      <c r="S16" s="27" t="s">
        <v>771</v>
      </c>
      <c r="T16" s="27" t="s">
        <v>685</v>
      </c>
      <c r="U16" s="27" t="s">
        <v>907</v>
      </c>
      <c r="V16" s="27" t="s">
        <v>761</v>
      </c>
    </row>
    <row r="17" spans="1:22" x14ac:dyDescent="0.25">
      <c r="A17" s="31" t="s">
        <v>688</v>
      </c>
      <c r="B17" s="31" t="s">
        <v>877</v>
      </c>
      <c r="C17" s="7" t="s">
        <v>771</v>
      </c>
      <c r="D17" s="7">
        <v>33000</v>
      </c>
      <c r="E17" s="7" t="s">
        <v>686</v>
      </c>
      <c r="F17" s="7">
        <v>12</v>
      </c>
      <c r="G17" s="7" t="s">
        <v>686</v>
      </c>
      <c r="H17" s="7">
        <v>2</v>
      </c>
      <c r="I17" s="7" t="s">
        <v>686</v>
      </c>
      <c r="J17" s="7">
        <v>0</v>
      </c>
      <c r="K17" s="7" t="s">
        <v>686</v>
      </c>
      <c r="L17" s="7" t="s">
        <v>784</v>
      </c>
      <c r="M17" s="7" t="s">
        <v>773</v>
      </c>
      <c r="N17" s="7" t="s">
        <v>786</v>
      </c>
      <c r="O17" s="7" t="s">
        <v>686</v>
      </c>
      <c r="P17" s="7" t="s">
        <v>246</v>
      </c>
      <c r="Q17" s="7" t="s">
        <v>772</v>
      </c>
      <c r="R17" s="7" t="s">
        <v>21</v>
      </c>
      <c r="S17" s="7" t="s">
        <v>771</v>
      </c>
      <c r="T17" s="7" t="s">
        <v>685</v>
      </c>
      <c r="U17" s="7"/>
      <c r="V17" s="7" t="s">
        <v>761</v>
      </c>
    </row>
    <row r="18" spans="1:22" x14ac:dyDescent="0.25">
      <c r="A18" s="31" t="s">
        <v>688</v>
      </c>
      <c r="B18" s="31" t="s">
        <v>878</v>
      </c>
      <c r="C18" s="7" t="s">
        <v>771</v>
      </c>
      <c r="D18" s="7">
        <v>33002</v>
      </c>
      <c r="E18" s="7" t="s">
        <v>686</v>
      </c>
      <c r="F18" s="7">
        <v>0</v>
      </c>
      <c r="G18" s="7" t="s">
        <v>686</v>
      </c>
      <c r="H18" s="7">
        <v>2</v>
      </c>
      <c r="I18" s="7" t="s">
        <v>686</v>
      </c>
      <c r="J18" s="7">
        <v>2</v>
      </c>
      <c r="K18" s="7" t="s">
        <v>686</v>
      </c>
      <c r="L18" s="7" t="s">
        <v>784</v>
      </c>
      <c r="M18" s="7" t="s">
        <v>773</v>
      </c>
      <c r="N18" s="7" t="s">
        <v>786</v>
      </c>
      <c r="O18" s="7" t="s">
        <v>686</v>
      </c>
      <c r="P18" s="7" t="s">
        <v>246</v>
      </c>
      <c r="Q18" s="7" t="s">
        <v>772</v>
      </c>
      <c r="R18" s="7" t="s">
        <v>21</v>
      </c>
      <c r="S18" s="7" t="s">
        <v>771</v>
      </c>
      <c r="T18" s="7" t="s">
        <v>685</v>
      </c>
      <c r="U18" s="7"/>
      <c r="V18" s="7" t="s">
        <v>761</v>
      </c>
    </row>
    <row r="19" spans="1:22" x14ac:dyDescent="0.25">
      <c r="A19" s="31" t="s">
        <v>688</v>
      </c>
      <c r="B19" s="31" t="s">
        <v>879</v>
      </c>
      <c r="C19" s="7" t="s">
        <v>771</v>
      </c>
      <c r="D19" s="7">
        <v>33004</v>
      </c>
      <c r="E19" s="7" t="s">
        <v>686</v>
      </c>
      <c r="F19" s="7">
        <v>0</v>
      </c>
      <c r="G19" s="7" t="s">
        <v>686</v>
      </c>
      <c r="H19" s="7">
        <v>2</v>
      </c>
      <c r="I19" s="7" t="s">
        <v>686</v>
      </c>
      <c r="J19" s="7">
        <v>4</v>
      </c>
      <c r="K19" s="7" t="s">
        <v>686</v>
      </c>
      <c r="L19" s="7" t="s">
        <v>784</v>
      </c>
      <c r="M19" s="7" t="s">
        <v>773</v>
      </c>
      <c r="N19" s="7" t="s">
        <v>786</v>
      </c>
      <c r="O19" s="7" t="s">
        <v>686</v>
      </c>
      <c r="P19" s="7" t="s">
        <v>246</v>
      </c>
      <c r="Q19" s="7" t="s">
        <v>772</v>
      </c>
      <c r="R19" s="7" t="s">
        <v>21</v>
      </c>
      <c r="S19" s="7" t="s">
        <v>771</v>
      </c>
      <c r="T19" s="7" t="s">
        <v>685</v>
      </c>
      <c r="U19" s="7"/>
      <c r="V19" s="7" t="s">
        <v>761</v>
      </c>
    </row>
    <row r="20" spans="1:22" x14ac:dyDescent="0.25">
      <c r="A20" s="31" t="s">
        <v>688</v>
      </c>
      <c r="B20" s="31" t="s">
        <v>880</v>
      </c>
      <c r="C20" s="7" t="s">
        <v>771</v>
      </c>
      <c r="D20" s="7">
        <v>33006</v>
      </c>
      <c r="E20" s="7" t="s">
        <v>686</v>
      </c>
      <c r="F20" s="7">
        <v>0</v>
      </c>
      <c r="G20" s="7" t="s">
        <v>686</v>
      </c>
      <c r="H20" s="7">
        <v>2</v>
      </c>
      <c r="I20" s="7" t="s">
        <v>686</v>
      </c>
      <c r="J20" s="7">
        <v>6</v>
      </c>
      <c r="K20" s="7" t="s">
        <v>686</v>
      </c>
      <c r="L20" s="7" t="s">
        <v>784</v>
      </c>
      <c r="M20" s="7" t="s">
        <v>773</v>
      </c>
      <c r="N20" s="7" t="s">
        <v>786</v>
      </c>
      <c r="O20" s="7" t="s">
        <v>686</v>
      </c>
      <c r="P20" s="7" t="s">
        <v>246</v>
      </c>
      <c r="Q20" s="7" t="s">
        <v>772</v>
      </c>
      <c r="R20" s="7" t="s">
        <v>21</v>
      </c>
      <c r="S20" s="7" t="s">
        <v>771</v>
      </c>
      <c r="T20" s="7" t="s">
        <v>685</v>
      </c>
      <c r="U20" s="7"/>
      <c r="V20" s="7" t="s">
        <v>761</v>
      </c>
    </row>
    <row r="21" spans="1:22" x14ac:dyDescent="0.25">
      <c r="A21" s="31" t="s">
        <v>688</v>
      </c>
      <c r="B21" s="31" t="s">
        <v>881</v>
      </c>
      <c r="C21" s="7" t="s">
        <v>771</v>
      </c>
      <c r="D21" s="7">
        <v>33008</v>
      </c>
      <c r="E21" s="7" t="s">
        <v>686</v>
      </c>
      <c r="F21" s="7">
        <v>0</v>
      </c>
      <c r="G21" s="7" t="s">
        <v>686</v>
      </c>
      <c r="H21" s="7">
        <v>2</v>
      </c>
      <c r="I21" s="7" t="s">
        <v>686</v>
      </c>
      <c r="J21" s="7">
        <v>8</v>
      </c>
      <c r="K21" s="7" t="s">
        <v>686</v>
      </c>
      <c r="L21" s="7" t="s">
        <v>784</v>
      </c>
      <c r="M21" s="7" t="s">
        <v>773</v>
      </c>
      <c r="N21" s="7" t="s">
        <v>786</v>
      </c>
      <c r="O21" s="7" t="s">
        <v>686</v>
      </c>
      <c r="P21" s="7" t="s">
        <v>246</v>
      </c>
      <c r="Q21" s="7" t="s">
        <v>772</v>
      </c>
      <c r="R21" s="7" t="s">
        <v>21</v>
      </c>
      <c r="S21" s="7" t="s">
        <v>771</v>
      </c>
      <c r="T21" s="7" t="s">
        <v>685</v>
      </c>
      <c r="U21" s="7"/>
      <c r="V21" s="7" t="s">
        <v>761</v>
      </c>
    </row>
    <row r="22" spans="1:22" x14ac:dyDescent="0.25">
      <c r="A22" s="31" t="s">
        <v>688</v>
      </c>
      <c r="B22" s="31" t="s">
        <v>882</v>
      </c>
      <c r="C22" s="7" t="s">
        <v>771</v>
      </c>
      <c r="D22" s="7">
        <v>33010</v>
      </c>
      <c r="E22" s="7" t="s">
        <v>686</v>
      </c>
      <c r="F22" s="7">
        <v>0</v>
      </c>
      <c r="G22" s="7" t="s">
        <v>686</v>
      </c>
      <c r="H22" s="7">
        <v>2</v>
      </c>
      <c r="I22" s="7" t="s">
        <v>686</v>
      </c>
      <c r="J22" s="7">
        <v>10</v>
      </c>
      <c r="K22" s="7" t="s">
        <v>686</v>
      </c>
      <c r="L22" s="7" t="s">
        <v>784</v>
      </c>
      <c r="M22" s="7" t="s">
        <v>773</v>
      </c>
      <c r="N22" s="7" t="s">
        <v>786</v>
      </c>
      <c r="O22" s="7" t="s">
        <v>686</v>
      </c>
      <c r="P22" s="7" t="s">
        <v>246</v>
      </c>
      <c r="Q22" s="7" t="s">
        <v>772</v>
      </c>
      <c r="R22" s="7" t="s">
        <v>21</v>
      </c>
      <c r="S22" s="7" t="s">
        <v>771</v>
      </c>
      <c r="T22" s="7" t="s">
        <v>685</v>
      </c>
      <c r="U22" s="7"/>
      <c r="V22" s="7" t="s">
        <v>761</v>
      </c>
    </row>
    <row r="23" spans="1:22" x14ac:dyDescent="0.25">
      <c r="A23" s="32" t="s">
        <v>688</v>
      </c>
      <c r="B23" s="32" t="s">
        <v>883</v>
      </c>
      <c r="C23" s="27" t="s">
        <v>771</v>
      </c>
      <c r="D23" s="27">
        <v>35000</v>
      </c>
      <c r="E23" s="27" t="s">
        <v>686</v>
      </c>
      <c r="F23" s="27">
        <v>3</v>
      </c>
      <c r="G23" s="27" t="s">
        <v>686</v>
      </c>
      <c r="H23" s="27">
        <v>1</v>
      </c>
      <c r="I23" s="27" t="s">
        <v>686</v>
      </c>
      <c r="J23" s="27">
        <v>0</v>
      </c>
      <c r="K23" s="27" t="s">
        <v>686</v>
      </c>
      <c r="L23" s="27" t="s">
        <v>784</v>
      </c>
      <c r="M23" s="27" t="s">
        <v>773</v>
      </c>
      <c r="N23" s="27" t="s">
        <v>786</v>
      </c>
      <c r="O23" s="27" t="s">
        <v>686</v>
      </c>
      <c r="P23" s="27" t="s">
        <v>770</v>
      </c>
      <c r="Q23" s="27" t="s">
        <v>772</v>
      </c>
      <c r="R23" s="27" t="s">
        <v>762</v>
      </c>
      <c r="S23" s="27" t="s">
        <v>771</v>
      </c>
      <c r="T23" s="27" t="s">
        <v>685</v>
      </c>
      <c r="U23" s="27"/>
      <c r="V23" s="27" t="s">
        <v>761</v>
      </c>
    </row>
    <row r="24" spans="1:22" x14ac:dyDescent="0.25">
      <c r="A24" s="32" t="s">
        <v>688</v>
      </c>
      <c r="B24" s="32" t="s">
        <v>884</v>
      </c>
      <c r="C24" s="27" t="s">
        <v>771</v>
      </c>
      <c r="D24" s="27">
        <v>35001</v>
      </c>
      <c r="E24" s="27" t="s">
        <v>686</v>
      </c>
      <c r="F24" s="27">
        <v>0</v>
      </c>
      <c r="G24" s="27" t="s">
        <v>686</v>
      </c>
      <c r="H24" s="27">
        <v>1</v>
      </c>
      <c r="I24" s="27" t="s">
        <v>686</v>
      </c>
      <c r="J24" s="27">
        <v>1</v>
      </c>
      <c r="K24" s="27" t="s">
        <v>686</v>
      </c>
      <c r="L24" s="27" t="s">
        <v>784</v>
      </c>
      <c r="M24" s="27" t="s">
        <v>773</v>
      </c>
      <c r="N24" s="27" t="s">
        <v>786</v>
      </c>
      <c r="O24" s="27" t="s">
        <v>686</v>
      </c>
      <c r="P24" s="27" t="s">
        <v>770</v>
      </c>
      <c r="Q24" s="27" t="s">
        <v>772</v>
      </c>
      <c r="R24" s="27" t="s">
        <v>762</v>
      </c>
      <c r="S24" s="27" t="s">
        <v>771</v>
      </c>
      <c r="T24" s="27" t="s">
        <v>685</v>
      </c>
      <c r="U24" s="27"/>
      <c r="V24" s="27" t="s">
        <v>761</v>
      </c>
    </row>
    <row r="25" spans="1:22" x14ac:dyDescent="0.25">
      <c r="A25" s="32" t="s">
        <v>688</v>
      </c>
      <c r="B25" s="32" t="s">
        <v>885</v>
      </c>
      <c r="C25" s="27" t="s">
        <v>771</v>
      </c>
      <c r="D25" s="27">
        <v>35002</v>
      </c>
      <c r="E25" s="27" t="s">
        <v>686</v>
      </c>
      <c r="F25" s="27">
        <v>0</v>
      </c>
      <c r="G25" s="27" t="s">
        <v>686</v>
      </c>
      <c r="H25" s="27">
        <v>1</v>
      </c>
      <c r="I25" s="27" t="s">
        <v>686</v>
      </c>
      <c r="J25" s="27">
        <v>2</v>
      </c>
      <c r="K25" s="27" t="s">
        <v>686</v>
      </c>
      <c r="L25" s="27" t="s">
        <v>784</v>
      </c>
      <c r="M25" s="27" t="s">
        <v>773</v>
      </c>
      <c r="N25" s="27" t="s">
        <v>786</v>
      </c>
      <c r="O25" s="27" t="s">
        <v>686</v>
      </c>
      <c r="P25" s="27" t="s">
        <v>770</v>
      </c>
      <c r="Q25" s="27" t="s">
        <v>772</v>
      </c>
      <c r="R25" s="27" t="s">
        <v>762</v>
      </c>
      <c r="S25" s="27" t="s">
        <v>771</v>
      </c>
      <c r="T25" s="27" t="s">
        <v>685</v>
      </c>
      <c r="U25" s="27"/>
      <c r="V25" s="27" t="s">
        <v>761</v>
      </c>
    </row>
    <row r="26" spans="1:22" x14ac:dyDescent="0.25">
      <c r="A26" s="31" t="s">
        <v>688</v>
      </c>
      <c r="B26" s="31" t="s">
        <v>886</v>
      </c>
      <c r="C26" s="7" t="s">
        <v>771</v>
      </c>
      <c r="D26" s="7">
        <v>35010</v>
      </c>
      <c r="E26" s="7" t="s">
        <v>686</v>
      </c>
      <c r="F26" s="7">
        <v>2</v>
      </c>
      <c r="G26" s="7" t="s">
        <v>686</v>
      </c>
      <c r="H26" s="7">
        <v>1</v>
      </c>
      <c r="I26" s="7" t="s">
        <v>686</v>
      </c>
      <c r="J26" s="7">
        <v>0</v>
      </c>
      <c r="K26" s="7" t="s">
        <v>686</v>
      </c>
      <c r="L26" s="7" t="s">
        <v>784</v>
      </c>
      <c r="M26" s="7" t="s">
        <v>773</v>
      </c>
      <c r="N26" s="7" t="s">
        <v>786</v>
      </c>
      <c r="O26" s="7" t="s">
        <v>686</v>
      </c>
      <c r="P26" s="7" t="s">
        <v>770</v>
      </c>
      <c r="Q26" s="7" t="s">
        <v>772</v>
      </c>
      <c r="R26" s="7" t="s">
        <v>762</v>
      </c>
      <c r="S26" s="7" t="s">
        <v>771</v>
      </c>
      <c r="T26" s="7" t="s">
        <v>685</v>
      </c>
      <c r="U26" s="7"/>
      <c r="V26" s="7" t="s">
        <v>761</v>
      </c>
    </row>
    <row r="27" spans="1:22" x14ac:dyDescent="0.25">
      <c r="A27" s="31" t="s">
        <v>688</v>
      </c>
      <c r="B27" s="31" t="s">
        <v>887</v>
      </c>
      <c r="C27" s="7" t="s">
        <v>771</v>
      </c>
      <c r="D27" s="7">
        <v>35011</v>
      </c>
      <c r="E27" s="7" t="s">
        <v>686</v>
      </c>
      <c r="F27" s="7">
        <v>0</v>
      </c>
      <c r="G27" s="7" t="s">
        <v>686</v>
      </c>
      <c r="H27" s="7">
        <v>1</v>
      </c>
      <c r="I27" s="7" t="s">
        <v>686</v>
      </c>
      <c r="J27" s="7">
        <v>1</v>
      </c>
      <c r="K27" s="7" t="s">
        <v>686</v>
      </c>
      <c r="L27" s="7" t="s">
        <v>784</v>
      </c>
      <c r="M27" s="7" t="s">
        <v>773</v>
      </c>
      <c r="N27" s="7" t="s">
        <v>786</v>
      </c>
      <c r="O27" s="7" t="s">
        <v>686</v>
      </c>
      <c r="P27" s="7" t="s">
        <v>770</v>
      </c>
      <c r="Q27" s="7" t="s">
        <v>772</v>
      </c>
      <c r="R27" s="7" t="s">
        <v>762</v>
      </c>
      <c r="S27" s="7" t="s">
        <v>771</v>
      </c>
      <c r="T27" s="7" t="s">
        <v>685</v>
      </c>
      <c r="U27" s="7"/>
      <c r="V27" s="7" t="s">
        <v>761</v>
      </c>
    </row>
    <row r="28" spans="1:22" x14ac:dyDescent="0.25">
      <c r="A28" s="32" t="s">
        <v>688</v>
      </c>
      <c r="B28" s="32" t="s">
        <v>888</v>
      </c>
      <c r="C28" s="27" t="s">
        <v>771</v>
      </c>
      <c r="D28" s="27">
        <v>35100</v>
      </c>
      <c r="E28" s="27" t="s">
        <v>686</v>
      </c>
      <c r="F28" s="27">
        <v>1</v>
      </c>
      <c r="G28" s="27" t="s">
        <v>686</v>
      </c>
      <c r="H28" s="27">
        <v>1</v>
      </c>
      <c r="I28" s="27" t="s">
        <v>686</v>
      </c>
      <c r="J28" s="27">
        <v>0</v>
      </c>
      <c r="K28" s="27" t="s">
        <v>686</v>
      </c>
      <c r="L28" s="27" t="s">
        <v>784</v>
      </c>
      <c r="M28" s="27" t="s">
        <v>773</v>
      </c>
      <c r="N28" s="27" t="s">
        <v>786</v>
      </c>
      <c r="O28" s="27" t="s">
        <v>686</v>
      </c>
      <c r="P28" s="27">
        <v>1</v>
      </c>
      <c r="Q28" s="27" t="s">
        <v>772</v>
      </c>
      <c r="R28" s="27" t="s">
        <v>777</v>
      </c>
      <c r="S28" s="27" t="s">
        <v>771</v>
      </c>
      <c r="T28" s="27" t="s">
        <v>685</v>
      </c>
      <c r="U28" s="27"/>
      <c r="V28" s="27" t="s">
        <v>761</v>
      </c>
    </row>
    <row r="29" spans="1:22" x14ac:dyDescent="0.25">
      <c r="A29" s="31" t="s">
        <v>688</v>
      </c>
      <c r="B29" s="31" t="s">
        <v>889</v>
      </c>
      <c r="C29" s="7" t="s">
        <v>771</v>
      </c>
      <c r="D29" s="7">
        <v>35110</v>
      </c>
      <c r="E29" s="7" t="s">
        <v>686</v>
      </c>
      <c r="F29" s="7">
        <v>3</v>
      </c>
      <c r="G29" s="7" t="s">
        <v>686</v>
      </c>
      <c r="H29" s="7">
        <v>1</v>
      </c>
      <c r="I29" s="7" t="s">
        <v>686</v>
      </c>
      <c r="J29" s="7">
        <v>0</v>
      </c>
      <c r="K29" s="7" t="s">
        <v>686</v>
      </c>
      <c r="L29" s="7" t="s">
        <v>784</v>
      </c>
      <c r="M29" s="7" t="s">
        <v>773</v>
      </c>
      <c r="N29" s="7" t="s">
        <v>786</v>
      </c>
      <c r="O29" s="7" t="s">
        <v>686</v>
      </c>
      <c r="P29" s="7">
        <v>100</v>
      </c>
      <c r="Q29" s="7" t="s">
        <v>772</v>
      </c>
      <c r="R29" s="7" t="s">
        <v>763</v>
      </c>
      <c r="S29" s="7" t="s">
        <v>771</v>
      </c>
      <c r="T29" s="7" t="s">
        <v>685</v>
      </c>
      <c r="U29" s="7"/>
      <c r="V29" s="7" t="s">
        <v>761</v>
      </c>
    </row>
    <row r="30" spans="1:22" x14ac:dyDescent="0.25">
      <c r="A30" s="31" t="s">
        <v>688</v>
      </c>
      <c r="B30" s="31" t="s">
        <v>890</v>
      </c>
      <c r="C30" s="7" t="s">
        <v>771</v>
      </c>
      <c r="D30" s="7">
        <v>35111</v>
      </c>
      <c r="E30" s="7" t="s">
        <v>686</v>
      </c>
      <c r="F30" s="7">
        <v>0</v>
      </c>
      <c r="G30" s="7" t="s">
        <v>686</v>
      </c>
      <c r="H30" s="7">
        <v>1</v>
      </c>
      <c r="I30" s="7" t="s">
        <v>686</v>
      </c>
      <c r="J30" s="7">
        <v>1</v>
      </c>
      <c r="K30" s="7" t="s">
        <v>686</v>
      </c>
      <c r="L30" s="7" t="s">
        <v>784</v>
      </c>
      <c r="M30" s="7" t="s">
        <v>773</v>
      </c>
      <c r="N30" s="7" t="s">
        <v>786</v>
      </c>
      <c r="O30" s="7" t="s">
        <v>686</v>
      </c>
      <c r="P30" s="7">
        <v>100</v>
      </c>
      <c r="Q30" s="7" t="s">
        <v>772</v>
      </c>
      <c r="R30" s="7" t="s">
        <v>764</v>
      </c>
      <c r="S30" s="7" t="s">
        <v>771</v>
      </c>
      <c r="T30" s="7" t="s">
        <v>685</v>
      </c>
      <c r="U30" s="7"/>
      <c r="V30" s="7" t="s">
        <v>761</v>
      </c>
    </row>
    <row r="31" spans="1:22" x14ac:dyDescent="0.25">
      <c r="A31" s="31" t="s">
        <v>688</v>
      </c>
      <c r="B31" s="31" t="s">
        <v>891</v>
      </c>
      <c r="C31" s="7" t="s">
        <v>771</v>
      </c>
      <c r="D31" s="7">
        <v>35112</v>
      </c>
      <c r="E31" s="7" t="s">
        <v>686</v>
      </c>
      <c r="F31" s="7">
        <v>0</v>
      </c>
      <c r="G31" s="7" t="s">
        <v>686</v>
      </c>
      <c r="H31" s="7">
        <v>1</v>
      </c>
      <c r="I31" s="7" t="s">
        <v>686</v>
      </c>
      <c r="J31" s="7">
        <v>2</v>
      </c>
      <c r="K31" s="7" t="s">
        <v>686</v>
      </c>
      <c r="L31" s="7" t="s">
        <v>784</v>
      </c>
      <c r="M31" s="7" t="s">
        <v>773</v>
      </c>
      <c r="N31" s="7" t="s">
        <v>786</v>
      </c>
      <c r="O31" s="7" t="s">
        <v>686</v>
      </c>
      <c r="P31" s="7">
        <v>100</v>
      </c>
      <c r="Q31" s="7" t="s">
        <v>772</v>
      </c>
      <c r="R31" s="7" t="s">
        <v>764</v>
      </c>
      <c r="S31" s="7" t="s">
        <v>771</v>
      </c>
      <c r="T31" s="7" t="s">
        <v>685</v>
      </c>
      <c r="U31" s="7"/>
      <c r="V31" s="7" t="s">
        <v>761</v>
      </c>
    </row>
    <row r="32" spans="1:22" x14ac:dyDescent="0.25">
      <c r="A32" s="32" t="s">
        <v>688</v>
      </c>
      <c r="B32" s="32" t="s">
        <v>892</v>
      </c>
      <c r="C32" s="27" t="s">
        <v>771</v>
      </c>
      <c r="D32" s="27">
        <v>36000</v>
      </c>
      <c r="E32" s="27" t="s">
        <v>686</v>
      </c>
      <c r="F32" s="27">
        <v>1</v>
      </c>
      <c r="G32" s="27" t="s">
        <v>686</v>
      </c>
      <c r="H32" s="27">
        <v>1</v>
      </c>
      <c r="I32" s="27" t="s">
        <v>686</v>
      </c>
      <c r="J32" s="27">
        <v>0</v>
      </c>
      <c r="K32" s="27" t="s">
        <v>686</v>
      </c>
      <c r="L32" s="27" t="s">
        <v>784</v>
      </c>
      <c r="M32" s="27" t="s">
        <v>778</v>
      </c>
      <c r="N32" s="27" t="s">
        <v>786</v>
      </c>
      <c r="O32" s="27" t="s">
        <v>686</v>
      </c>
      <c r="P32" s="27">
        <v>1</v>
      </c>
      <c r="Q32" s="27" t="s">
        <v>772</v>
      </c>
      <c r="R32" s="27" t="s">
        <v>777</v>
      </c>
      <c r="S32" s="27" t="s">
        <v>771</v>
      </c>
      <c r="T32" s="27" t="s">
        <v>685</v>
      </c>
      <c r="U32" s="27"/>
      <c r="V32" s="27" t="s">
        <v>761</v>
      </c>
    </row>
    <row r="33" spans="1:22" x14ac:dyDescent="0.25">
      <c r="A33" s="31" t="s">
        <v>688</v>
      </c>
      <c r="B33" s="31" t="s">
        <v>893</v>
      </c>
      <c r="C33" s="7" t="s">
        <v>771</v>
      </c>
      <c r="D33" s="7">
        <v>36100</v>
      </c>
      <c r="E33" s="7" t="s">
        <v>686</v>
      </c>
      <c r="F33" s="7">
        <v>1</v>
      </c>
      <c r="G33" s="7" t="s">
        <v>686</v>
      </c>
      <c r="H33" s="7">
        <v>2</v>
      </c>
      <c r="I33" s="7" t="s">
        <v>686</v>
      </c>
      <c r="J33" s="7">
        <v>0</v>
      </c>
      <c r="K33" s="7" t="s">
        <v>686</v>
      </c>
      <c r="L33" s="7" t="s">
        <v>784</v>
      </c>
      <c r="M33" s="7" t="s">
        <v>778</v>
      </c>
      <c r="N33" s="7" t="s">
        <v>786</v>
      </c>
      <c r="O33" s="7" t="s">
        <v>686</v>
      </c>
      <c r="P33" s="7">
        <v>1</v>
      </c>
      <c r="Q33" s="7" t="s">
        <v>772</v>
      </c>
      <c r="R33" s="7" t="s">
        <v>777</v>
      </c>
      <c r="S33" s="7" t="s">
        <v>771</v>
      </c>
      <c r="T33" s="7" t="s">
        <v>685</v>
      </c>
      <c r="U33" s="7"/>
      <c r="V33" s="7" t="s">
        <v>761</v>
      </c>
    </row>
    <row r="34" spans="1:22" x14ac:dyDescent="0.25">
      <c r="A34" s="32" t="s">
        <v>688</v>
      </c>
      <c r="B34" s="32" t="s">
        <v>894</v>
      </c>
      <c r="C34" s="27" t="s">
        <v>771</v>
      </c>
      <c r="D34" s="27">
        <v>41000</v>
      </c>
      <c r="E34" s="27" t="s">
        <v>686</v>
      </c>
      <c r="F34" s="27">
        <v>1</v>
      </c>
      <c r="G34" s="27" t="s">
        <v>686</v>
      </c>
      <c r="H34" s="27">
        <v>1</v>
      </c>
      <c r="I34" s="27" t="s">
        <v>686</v>
      </c>
      <c r="J34" s="27">
        <v>0</v>
      </c>
      <c r="K34" s="27" t="s">
        <v>686</v>
      </c>
      <c r="L34" s="27" t="s">
        <v>785</v>
      </c>
      <c r="M34" s="27" t="s">
        <v>773</v>
      </c>
      <c r="N34" s="27" t="s">
        <v>786</v>
      </c>
      <c r="O34" s="27" t="s">
        <v>686</v>
      </c>
      <c r="P34" s="27">
        <v>1</v>
      </c>
      <c r="Q34" s="27" t="s">
        <v>772</v>
      </c>
      <c r="R34" s="27" t="s">
        <v>777</v>
      </c>
      <c r="S34" s="27" t="s">
        <v>771</v>
      </c>
      <c r="T34" s="27" t="s">
        <v>685</v>
      </c>
      <c r="U34" s="27"/>
      <c r="V34" s="27" t="s">
        <v>761</v>
      </c>
    </row>
    <row r="35" spans="1:22" x14ac:dyDescent="0.25">
      <c r="A35" s="31" t="s">
        <v>688</v>
      </c>
      <c r="B35" s="31" t="s">
        <v>895</v>
      </c>
      <c r="C35" s="7" t="s">
        <v>771</v>
      </c>
      <c r="D35" s="7">
        <v>41100</v>
      </c>
      <c r="E35" s="7" t="s">
        <v>686</v>
      </c>
      <c r="F35" s="7">
        <v>1</v>
      </c>
      <c r="G35" s="7" t="s">
        <v>686</v>
      </c>
      <c r="H35" s="7">
        <v>1</v>
      </c>
      <c r="I35" s="7" t="s">
        <v>686</v>
      </c>
      <c r="J35" s="7">
        <v>0</v>
      </c>
      <c r="K35" s="7" t="s">
        <v>686</v>
      </c>
      <c r="L35" s="7" t="s">
        <v>785</v>
      </c>
      <c r="M35" s="7" t="s">
        <v>773</v>
      </c>
      <c r="N35" s="7" t="s">
        <v>786</v>
      </c>
      <c r="O35" s="7" t="s">
        <v>686</v>
      </c>
      <c r="P35" s="7">
        <v>1</v>
      </c>
      <c r="Q35" s="7" t="s">
        <v>772</v>
      </c>
      <c r="R35" s="7" t="s">
        <v>777</v>
      </c>
      <c r="S35" s="7" t="s">
        <v>771</v>
      </c>
      <c r="T35" s="7" t="s">
        <v>685</v>
      </c>
      <c r="U35" s="7"/>
      <c r="V35" s="7" t="s">
        <v>761</v>
      </c>
    </row>
    <row r="36" spans="1:22" x14ac:dyDescent="0.25">
      <c r="A36" s="32" t="s">
        <v>688</v>
      </c>
      <c r="B36" s="32" t="s">
        <v>896</v>
      </c>
      <c r="C36" s="27" t="s">
        <v>771</v>
      </c>
      <c r="D36" s="27">
        <v>41200</v>
      </c>
      <c r="E36" s="27" t="s">
        <v>686</v>
      </c>
      <c r="F36" s="27">
        <v>1</v>
      </c>
      <c r="G36" s="27" t="s">
        <v>686</v>
      </c>
      <c r="H36" s="27">
        <v>1</v>
      </c>
      <c r="I36" s="27" t="s">
        <v>686</v>
      </c>
      <c r="J36" s="27">
        <v>0</v>
      </c>
      <c r="K36" s="27" t="s">
        <v>686</v>
      </c>
      <c r="L36" s="27" t="s">
        <v>785</v>
      </c>
      <c r="M36" s="27" t="s">
        <v>773</v>
      </c>
      <c r="N36" s="27" t="s">
        <v>786</v>
      </c>
      <c r="O36" s="27" t="s">
        <v>686</v>
      </c>
      <c r="P36" s="27">
        <v>1</v>
      </c>
      <c r="Q36" s="27" t="s">
        <v>772</v>
      </c>
      <c r="R36" s="27" t="s">
        <v>777</v>
      </c>
      <c r="S36" s="27" t="s">
        <v>771</v>
      </c>
      <c r="T36" s="27" t="s">
        <v>685</v>
      </c>
      <c r="U36" s="27"/>
      <c r="V36" s="27" t="s">
        <v>761</v>
      </c>
    </row>
    <row r="37" spans="1:22" x14ac:dyDescent="0.25">
      <c r="A37" s="31" t="s">
        <v>688</v>
      </c>
      <c r="B37" s="31" t="s">
        <v>897</v>
      </c>
      <c r="C37" s="7" t="s">
        <v>771</v>
      </c>
      <c r="D37" s="7">
        <v>42000</v>
      </c>
      <c r="E37" s="7" t="s">
        <v>686</v>
      </c>
      <c r="F37" s="7">
        <v>1</v>
      </c>
      <c r="G37" s="7" t="s">
        <v>686</v>
      </c>
      <c r="H37" s="7">
        <v>1</v>
      </c>
      <c r="I37" s="7" t="s">
        <v>686</v>
      </c>
      <c r="J37" s="7">
        <v>0</v>
      </c>
      <c r="K37" s="7" t="s">
        <v>686</v>
      </c>
      <c r="L37" s="7" t="s">
        <v>785</v>
      </c>
      <c r="M37" s="7" t="s">
        <v>773</v>
      </c>
      <c r="N37" s="7" t="s">
        <v>786</v>
      </c>
      <c r="O37" s="7" t="s">
        <v>686</v>
      </c>
      <c r="P37" s="7">
        <v>1</v>
      </c>
      <c r="Q37" s="7" t="s">
        <v>772</v>
      </c>
      <c r="R37" s="7" t="s">
        <v>777</v>
      </c>
      <c r="S37" s="7" t="s">
        <v>771</v>
      </c>
      <c r="T37" s="7" t="s">
        <v>685</v>
      </c>
      <c r="U37" s="7"/>
      <c r="V37" s="7" t="s">
        <v>761</v>
      </c>
    </row>
    <row r="38" spans="1:22" x14ac:dyDescent="0.25">
      <c r="A38" s="32" t="s">
        <v>688</v>
      </c>
      <c r="B38" s="32" t="s">
        <v>888</v>
      </c>
      <c r="C38" s="27" t="s">
        <v>771</v>
      </c>
      <c r="D38" s="27">
        <v>42010</v>
      </c>
      <c r="E38" s="27" t="s">
        <v>686</v>
      </c>
      <c r="F38" s="27">
        <v>2</v>
      </c>
      <c r="G38" s="27" t="s">
        <v>686</v>
      </c>
      <c r="H38" s="27">
        <v>1</v>
      </c>
      <c r="I38" s="27" t="s">
        <v>686</v>
      </c>
      <c r="J38" s="27">
        <v>0</v>
      </c>
      <c r="K38" s="27" t="s">
        <v>686</v>
      </c>
      <c r="L38" s="27" t="s">
        <v>785</v>
      </c>
      <c r="M38" s="27" t="s">
        <v>773</v>
      </c>
      <c r="N38" s="27" t="s">
        <v>786</v>
      </c>
      <c r="O38" s="27" t="s">
        <v>686</v>
      </c>
      <c r="P38" s="27">
        <v>1</v>
      </c>
      <c r="Q38" s="27" t="s">
        <v>772</v>
      </c>
      <c r="R38" s="27" t="s">
        <v>777</v>
      </c>
      <c r="S38" s="27" t="s">
        <v>771</v>
      </c>
      <c r="T38" s="27" t="s">
        <v>685</v>
      </c>
      <c r="U38" s="27"/>
      <c r="V38" s="27" t="s">
        <v>761</v>
      </c>
    </row>
    <row r="39" spans="1:22" x14ac:dyDescent="0.25">
      <c r="A39" s="32" t="s">
        <v>688</v>
      </c>
      <c r="B39" s="32" t="s">
        <v>898</v>
      </c>
      <c r="C39" s="27" t="s">
        <v>771</v>
      </c>
      <c r="D39" s="27">
        <v>42011</v>
      </c>
      <c r="E39" s="27" t="s">
        <v>686</v>
      </c>
      <c r="F39" s="27">
        <v>0</v>
      </c>
      <c r="G39" s="27" t="s">
        <v>686</v>
      </c>
      <c r="H39" s="27">
        <v>1</v>
      </c>
      <c r="I39" s="27" t="s">
        <v>686</v>
      </c>
      <c r="J39" s="27">
        <v>1</v>
      </c>
      <c r="K39" s="27" t="s">
        <v>686</v>
      </c>
      <c r="L39" s="27" t="s">
        <v>785</v>
      </c>
      <c r="M39" s="27" t="s">
        <v>773</v>
      </c>
      <c r="N39" s="27" t="s">
        <v>786</v>
      </c>
      <c r="O39" s="27" t="s">
        <v>686</v>
      </c>
      <c r="P39" s="27" t="s">
        <v>246</v>
      </c>
      <c r="Q39" s="27" t="s">
        <v>772</v>
      </c>
      <c r="R39" s="27" t="s">
        <v>777</v>
      </c>
      <c r="S39" s="27" t="s">
        <v>771</v>
      </c>
      <c r="T39" s="27" t="s">
        <v>685</v>
      </c>
      <c r="U39" s="27"/>
      <c r="V39" s="27" t="s">
        <v>761</v>
      </c>
    </row>
    <row r="40" spans="1:22" x14ac:dyDescent="0.25">
      <c r="A40" s="31" t="s">
        <v>688</v>
      </c>
      <c r="B40" s="31" t="s">
        <v>899</v>
      </c>
      <c r="C40" s="7" t="s">
        <v>771</v>
      </c>
      <c r="D40" s="7">
        <v>42020</v>
      </c>
      <c r="E40" s="7" t="s">
        <v>686</v>
      </c>
      <c r="F40" s="7">
        <v>2</v>
      </c>
      <c r="G40" s="7" t="s">
        <v>686</v>
      </c>
      <c r="H40" s="7">
        <v>1</v>
      </c>
      <c r="I40" s="7" t="s">
        <v>686</v>
      </c>
      <c r="J40" s="7">
        <v>0</v>
      </c>
      <c r="K40" s="7" t="s">
        <v>686</v>
      </c>
      <c r="L40" s="7" t="s">
        <v>785</v>
      </c>
      <c r="M40" s="7" t="s">
        <v>773</v>
      </c>
      <c r="N40" s="7" t="s">
        <v>786</v>
      </c>
      <c r="O40" s="7" t="s">
        <v>686</v>
      </c>
      <c r="P40" s="7">
        <v>1</v>
      </c>
      <c r="Q40" s="7" t="s">
        <v>772</v>
      </c>
      <c r="R40" s="7" t="s">
        <v>765</v>
      </c>
      <c r="S40" s="7" t="s">
        <v>771</v>
      </c>
      <c r="T40" s="7" t="s">
        <v>685</v>
      </c>
      <c r="U40" s="7"/>
      <c r="V40" s="7" t="s">
        <v>761</v>
      </c>
    </row>
    <row r="41" spans="1:22" x14ac:dyDescent="0.25">
      <c r="A41" s="31" t="s">
        <v>688</v>
      </c>
      <c r="B41" s="31" t="s">
        <v>900</v>
      </c>
      <c r="C41" s="7" t="s">
        <v>771</v>
      </c>
      <c r="D41" s="7">
        <v>42021</v>
      </c>
      <c r="E41" s="7" t="s">
        <v>686</v>
      </c>
      <c r="F41" s="7">
        <v>0</v>
      </c>
      <c r="G41" s="7" t="s">
        <v>686</v>
      </c>
      <c r="H41" s="7">
        <v>1</v>
      </c>
      <c r="I41" s="7" t="s">
        <v>686</v>
      </c>
      <c r="J41" s="7">
        <v>1</v>
      </c>
      <c r="K41" s="7" t="s">
        <v>686</v>
      </c>
      <c r="L41" s="7" t="s">
        <v>785</v>
      </c>
      <c r="M41" s="7" t="s">
        <v>773</v>
      </c>
      <c r="N41" s="7" t="s">
        <v>786</v>
      </c>
      <c r="O41" s="7" t="s">
        <v>686</v>
      </c>
      <c r="P41" s="7">
        <v>1</v>
      </c>
      <c r="Q41" s="7" t="s">
        <v>772</v>
      </c>
      <c r="R41" s="7" t="s">
        <v>765</v>
      </c>
      <c r="S41" s="7" t="s">
        <v>771</v>
      </c>
      <c r="T41" s="7" t="s">
        <v>685</v>
      </c>
      <c r="U41" s="7"/>
      <c r="V41" s="7" t="s">
        <v>761</v>
      </c>
    </row>
    <row r="42" spans="1:22" x14ac:dyDescent="0.25">
      <c r="A42" s="32" t="s">
        <v>688</v>
      </c>
      <c r="B42" s="32" t="s">
        <v>901</v>
      </c>
      <c r="C42" s="27" t="s">
        <v>771</v>
      </c>
      <c r="D42" s="27">
        <v>43000</v>
      </c>
      <c r="E42" s="27" t="s">
        <v>686</v>
      </c>
      <c r="F42" s="27">
        <v>1</v>
      </c>
      <c r="G42" s="27" t="s">
        <v>686</v>
      </c>
      <c r="H42" s="27">
        <v>1</v>
      </c>
      <c r="I42" s="27" t="s">
        <v>686</v>
      </c>
      <c r="J42" s="27">
        <v>0</v>
      </c>
      <c r="K42" s="27" t="s">
        <v>686</v>
      </c>
      <c r="L42" s="27" t="s">
        <v>785</v>
      </c>
      <c r="M42" s="27" t="s">
        <v>773</v>
      </c>
      <c r="N42" s="27" t="s">
        <v>786</v>
      </c>
      <c r="O42" s="27" t="s">
        <v>686</v>
      </c>
      <c r="P42" s="27">
        <v>1</v>
      </c>
      <c r="Q42" s="27" t="s">
        <v>772</v>
      </c>
      <c r="R42" s="27" t="s">
        <v>777</v>
      </c>
      <c r="S42" s="27" t="s">
        <v>771</v>
      </c>
      <c r="T42" s="27" t="s">
        <v>685</v>
      </c>
      <c r="U42" s="27"/>
      <c r="V42" s="27" t="s">
        <v>761</v>
      </c>
    </row>
    <row r="43" spans="1:22" x14ac:dyDescent="0.25">
      <c r="A43" s="31" t="s">
        <v>688</v>
      </c>
      <c r="B43" s="31" t="s">
        <v>902</v>
      </c>
      <c r="C43" s="7" t="s">
        <v>771</v>
      </c>
      <c r="D43" s="7">
        <v>44000</v>
      </c>
      <c r="E43" s="7" t="s">
        <v>686</v>
      </c>
      <c r="F43" s="7">
        <v>4</v>
      </c>
      <c r="G43" s="7" t="s">
        <v>686</v>
      </c>
      <c r="H43" s="7">
        <v>1</v>
      </c>
      <c r="I43" s="7" t="s">
        <v>686</v>
      </c>
      <c r="J43" s="7">
        <v>0</v>
      </c>
      <c r="K43" s="7" t="s">
        <v>686</v>
      </c>
      <c r="L43" s="7" t="s">
        <v>785</v>
      </c>
      <c r="M43" s="7" t="s">
        <v>773</v>
      </c>
      <c r="N43" s="7" t="s">
        <v>786</v>
      </c>
      <c r="O43" s="7" t="s">
        <v>686</v>
      </c>
      <c r="P43" s="7" t="s">
        <v>770</v>
      </c>
      <c r="Q43" s="7" t="s">
        <v>772</v>
      </c>
      <c r="R43" s="7" t="s">
        <v>766</v>
      </c>
      <c r="S43" s="7" t="s">
        <v>771</v>
      </c>
      <c r="T43" s="7" t="s">
        <v>685</v>
      </c>
      <c r="U43" s="7"/>
      <c r="V43" s="7" t="s">
        <v>761</v>
      </c>
    </row>
    <row r="44" spans="1:22" x14ac:dyDescent="0.25">
      <c r="A44" s="31" t="s">
        <v>688</v>
      </c>
      <c r="B44" s="31" t="s">
        <v>903</v>
      </c>
      <c r="C44" s="7" t="s">
        <v>771</v>
      </c>
      <c r="D44" s="7">
        <v>44001</v>
      </c>
      <c r="E44" s="7" t="s">
        <v>686</v>
      </c>
      <c r="F44" s="7">
        <v>0</v>
      </c>
      <c r="G44" s="7" t="s">
        <v>686</v>
      </c>
      <c r="H44" s="7">
        <v>1</v>
      </c>
      <c r="I44" s="7" t="s">
        <v>686</v>
      </c>
      <c r="J44" s="7">
        <v>1</v>
      </c>
      <c r="K44" s="7" t="s">
        <v>686</v>
      </c>
      <c r="L44" s="7" t="s">
        <v>785</v>
      </c>
      <c r="M44" s="7" t="s">
        <v>773</v>
      </c>
      <c r="N44" s="7" t="s">
        <v>786</v>
      </c>
      <c r="O44" s="7" t="s">
        <v>686</v>
      </c>
      <c r="P44" s="7" t="s">
        <v>770</v>
      </c>
      <c r="Q44" s="7" t="s">
        <v>772</v>
      </c>
      <c r="R44" s="7" t="s">
        <v>766</v>
      </c>
      <c r="S44" s="7" t="s">
        <v>771</v>
      </c>
      <c r="T44" s="7" t="s">
        <v>685</v>
      </c>
      <c r="U44" s="7"/>
      <c r="V44" s="7" t="s">
        <v>761</v>
      </c>
    </row>
    <row r="45" spans="1:22" x14ac:dyDescent="0.25">
      <c r="A45" s="31" t="s">
        <v>688</v>
      </c>
      <c r="B45" s="31" t="s">
        <v>904</v>
      </c>
      <c r="C45" s="7" t="s">
        <v>771</v>
      </c>
      <c r="D45" s="7">
        <v>44002</v>
      </c>
      <c r="E45" s="7" t="s">
        <v>686</v>
      </c>
      <c r="F45" s="7">
        <v>0</v>
      </c>
      <c r="G45" s="7" t="s">
        <v>686</v>
      </c>
      <c r="H45" s="7">
        <v>1</v>
      </c>
      <c r="I45" s="7" t="s">
        <v>686</v>
      </c>
      <c r="J45" s="7">
        <v>2</v>
      </c>
      <c r="K45" s="7" t="s">
        <v>686</v>
      </c>
      <c r="L45" s="7" t="s">
        <v>785</v>
      </c>
      <c r="M45" s="7" t="s">
        <v>773</v>
      </c>
      <c r="N45" s="7" t="s">
        <v>786</v>
      </c>
      <c r="O45" s="7" t="s">
        <v>686</v>
      </c>
      <c r="P45" s="7">
        <v>1</v>
      </c>
      <c r="Q45" s="7" t="s">
        <v>772</v>
      </c>
      <c r="R45" s="7" t="s">
        <v>765</v>
      </c>
      <c r="S45" s="7" t="s">
        <v>771</v>
      </c>
      <c r="T45" s="7" t="s">
        <v>685</v>
      </c>
      <c r="U45" s="7"/>
      <c r="V45" s="7" t="s">
        <v>761</v>
      </c>
    </row>
    <row r="46" spans="1:22" x14ac:dyDescent="0.25">
      <c r="A46" s="31" t="s">
        <v>688</v>
      </c>
      <c r="B46" s="31" t="s">
        <v>905</v>
      </c>
      <c r="C46" s="7" t="s">
        <v>771</v>
      </c>
      <c r="D46" s="7">
        <v>44003</v>
      </c>
      <c r="E46" s="7" t="s">
        <v>686</v>
      </c>
      <c r="F46" s="7">
        <v>0</v>
      </c>
      <c r="G46" s="7" t="s">
        <v>686</v>
      </c>
      <c r="H46" s="7">
        <v>1</v>
      </c>
      <c r="I46" s="7" t="s">
        <v>686</v>
      </c>
      <c r="J46" s="7">
        <v>3</v>
      </c>
      <c r="K46" s="7" t="s">
        <v>686</v>
      </c>
      <c r="L46" s="7" t="s">
        <v>785</v>
      </c>
      <c r="M46" s="7" t="s">
        <v>773</v>
      </c>
      <c r="N46" s="7" t="s">
        <v>786</v>
      </c>
      <c r="O46" s="7" t="s">
        <v>686</v>
      </c>
      <c r="P46" s="7">
        <v>1</v>
      </c>
      <c r="Q46" s="7" t="s">
        <v>772</v>
      </c>
      <c r="R46" s="7" t="s">
        <v>765</v>
      </c>
      <c r="S46" s="7" t="s">
        <v>771</v>
      </c>
      <c r="T46" s="7" t="s">
        <v>685</v>
      </c>
      <c r="U46" s="7"/>
      <c r="V46" s="7" t="s">
        <v>760</v>
      </c>
    </row>
    <row r="47" spans="1:22" x14ac:dyDescent="0.25">
      <c r="C47" s="1"/>
    </row>
    <row r="48" spans="1:22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40A8-8F05-4A04-B09D-69457981C405}">
  <sheetPr codeName="Sheet1"/>
  <dimension ref="A1:X79"/>
  <sheetViews>
    <sheetView topLeftCell="A47" zoomScale="130" zoomScaleNormal="130" workbookViewId="0">
      <selection activeCell="J72" sqref="J72"/>
    </sheetView>
  </sheetViews>
  <sheetFormatPr defaultRowHeight="15" x14ac:dyDescent="0.25"/>
  <cols>
    <col min="2" max="2" width="28.7109375" bestFit="1" customWidth="1"/>
    <col min="3" max="3" width="2.28515625" bestFit="1" customWidth="1"/>
    <col min="4" max="4" width="8.140625" style="1" customWidth="1"/>
    <col min="5" max="5" width="1.5703125" style="1" bestFit="1" customWidth="1"/>
    <col min="6" max="6" width="5.28515625" style="1" customWidth="1"/>
    <col min="7" max="7" width="1.5703125" style="1" bestFit="1" customWidth="1"/>
    <col min="8" max="8" width="7.28515625" style="1" bestFit="1" customWidth="1"/>
    <col min="9" max="9" width="1.5703125" style="1" bestFit="1" customWidth="1"/>
    <col min="10" max="10" width="6.7109375" style="1" bestFit="1" customWidth="1"/>
    <col min="11" max="11" width="1.5703125" style="1" bestFit="1" customWidth="1"/>
    <col min="12" max="12" width="7.85546875" style="1" bestFit="1" customWidth="1"/>
    <col min="13" max="13" width="1.5703125" style="1" bestFit="1" customWidth="1"/>
    <col min="14" max="14" width="5.85546875" style="1" bestFit="1" customWidth="1"/>
    <col min="15" max="15" width="6.5703125" style="1" bestFit="1" customWidth="1"/>
    <col min="16" max="16" width="9.85546875" style="1" bestFit="1" customWidth="1"/>
    <col min="17" max="17" width="1.5703125" style="1" bestFit="1" customWidth="1"/>
    <col min="18" max="18" width="6.85546875" style="1" bestFit="1" customWidth="1"/>
    <col min="19" max="19" width="2.28515625" style="1" bestFit="1" customWidth="1"/>
    <col min="20" max="20" width="6.42578125" style="1" bestFit="1" customWidth="1"/>
    <col min="21" max="21" width="2.28515625" style="1" bestFit="1" customWidth="1"/>
    <col min="22" max="22" width="1.7109375" style="1" bestFit="1" customWidth="1"/>
    <col min="23" max="23" width="15.5703125" style="1" bestFit="1" customWidth="1"/>
    <col min="24" max="24" width="2.85546875" style="1" bestFit="1" customWidth="1"/>
  </cols>
  <sheetData>
    <row r="1" spans="1:24" x14ac:dyDescent="0.25">
      <c r="A1" s="42" t="s">
        <v>684</v>
      </c>
      <c r="B1" s="42" t="s">
        <v>962</v>
      </c>
      <c r="C1" s="40"/>
      <c r="D1" s="41" t="s">
        <v>963</v>
      </c>
      <c r="E1" s="41"/>
      <c r="F1" s="41" t="s">
        <v>964</v>
      </c>
      <c r="G1" s="41"/>
      <c r="H1" s="41" t="s">
        <v>997</v>
      </c>
      <c r="I1" s="41"/>
      <c r="J1" s="41" t="s">
        <v>965</v>
      </c>
      <c r="K1" s="41"/>
      <c r="L1" s="41" t="s">
        <v>966</v>
      </c>
      <c r="M1" s="41"/>
      <c r="N1" s="41" t="s">
        <v>967</v>
      </c>
      <c r="O1" s="41" t="s">
        <v>968</v>
      </c>
      <c r="P1" s="41" t="s">
        <v>969</v>
      </c>
      <c r="Q1" s="41"/>
      <c r="R1" s="41" t="s">
        <v>970</v>
      </c>
      <c r="S1" s="41"/>
      <c r="T1" s="41" t="s">
        <v>971</v>
      </c>
      <c r="U1" s="41"/>
      <c r="V1" s="41"/>
      <c r="W1" s="43" t="s">
        <v>972</v>
      </c>
      <c r="X1" s="41" t="s">
        <v>920</v>
      </c>
    </row>
    <row r="2" spans="1:24" x14ac:dyDescent="0.25">
      <c r="A2" s="31" t="s">
        <v>688</v>
      </c>
      <c r="B2" s="31" t="s">
        <v>862</v>
      </c>
      <c r="C2" s="7" t="s">
        <v>771</v>
      </c>
      <c r="D2" s="7">
        <v>31000</v>
      </c>
      <c r="E2" s="7" t="s">
        <v>686</v>
      </c>
      <c r="F2" s="7" t="s">
        <v>939</v>
      </c>
      <c r="G2" s="7" t="s">
        <v>686</v>
      </c>
      <c r="H2" s="7">
        <v>1</v>
      </c>
      <c r="I2" s="7" t="s">
        <v>686</v>
      </c>
      <c r="J2" s="7">
        <v>10</v>
      </c>
      <c r="K2" s="7" t="s">
        <v>686</v>
      </c>
      <c r="L2" s="7">
        <v>0</v>
      </c>
      <c r="M2" s="7" t="s">
        <v>686</v>
      </c>
      <c r="N2" s="7" t="s">
        <v>784</v>
      </c>
      <c r="O2" s="7" t="s">
        <v>774</v>
      </c>
      <c r="P2" s="7" t="s">
        <v>776</v>
      </c>
      <c r="Q2" s="7" t="s">
        <v>686</v>
      </c>
      <c r="R2" s="7">
        <v>1</v>
      </c>
      <c r="S2" s="7" t="s">
        <v>772</v>
      </c>
      <c r="T2" s="7" t="s">
        <v>777</v>
      </c>
      <c r="U2" s="7" t="s">
        <v>771</v>
      </c>
      <c r="V2" s="7" t="s">
        <v>685</v>
      </c>
      <c r="W2" s="7"/>
      <c r="X2" s="7" t="s">
        <v>761</v>
      </c>
    </row>
    <row r="3" spans="1:24" x14ac:dyDescent="0.25">
      <c r="A3" s="31" t="s">
        <v>688</v>
      </c>
      <c r="B3" s="31" t="s">
        <v>862</v>
      </c>
      <c r="C3" s="7" t="s">
        <v>771</v>
      </c>
      <c r="D3" s="7">
        <v>31001</v>
      </c>
      <c r="E3" s="7" t="s">
        <v>686</v>
      </c>
      <c r="F3" s="7" t="s">
        <v>939</v>
      </c>
      <c r="G3" s="7" t="s">
        <v>686</v>
      </c>
      <c r="H3" s="7">
        <v>2</v>
      </c>
      <c r="I3" s="7" t="s">
        <v>686</v>
      </c>
      <c r="J3" s="7">
        <v>0</v>
      </c>
      <c r="K3" s="7" t="s">
        <v>686</v>
      </c>
      <c r="L3" s="7">
        <v>1</v>
      </c>
      <c r="M3" s="7" t="s">
        <v>686</v>
      </c>
      <c r="N3" s="7" t="s">
        <v>784</v>
      </c>
      <c r="O3" s="7" t="s">
        <v>774</v>
      </c>
      <c r="P3" s="7" t="s">
        <v>776</v>
      </c>
      <c r="Q3" s="7" t="s">
        <v>686</v>
      </c>
      <c r="R3" s="7">
        <v>1</v>
      </c>
      <c r="S3" s="7" t="s">
        <v>772</v>
      </c>
      <c r="T3" s="7" t="s">
        <v>777</v>
      </c>
      <c r="U3" s="7" t="s">
        <v>771</v>
      </c>
      <c r="V3" s="7" t="s">
        <v>685</v>
      </c>
      <c r="W3" s="7"/>
      <c r="X3" s="7" t="s">
        <v>761</v>
      </c>
    </row>
    <row r="4" spans="1:24" x14ac:dyDescent="0.25">
      <c r="A4" s="31" t="s">
        <v>688</v>
      </c>
      <c r="B4" s="31" t="s">
        <v>862</v>
      </c>
      <c r="C4" s="7" t="s">
        <v>771</v>
      </c>
      <c r="D4" s="7">
        <v>31002</v>
      </c>
      <c r="E4" s="7" t="s">
        <v>686</v>
      </c>
      <c r="F4" s="7" t="s">
        <v>939</v>
      </c>
      <c r="G4" s="7" t="s">
        <v>686</v>
      </c>
      <c r="H4" s="7">
        <v>3</v>
      </c>
      <c r="I4" s="7" t="s">
        <v>686</v>
      </c>
      <c r="J4" s="7">
        <v>0</v>
      </c>
      <c r="K4" s="7" t="s">
        <v>686</v>
      </c>
      <c r="L4" s="7">
        <v>2</v>
      </c>
      <c r="M4" s="7" t="s">
        <v>686</v>
      </c>
      <c r="N4" s="7" t="s">
        <v>784</v>
      </c>
      <c r="O4" s="7" t="s">
        <v>774</v>
      </c>
      <c r="P4" s="7" t="s">
        <v>776</v>
      </c>
      <c r="Q4" s="7" t="s">
        <v>686</v>
      </c>
      <c r="R4" s="7">
        <v>1</v>
      </c>
      <c r="S4" s="7" t="s">
        <v>772</v>
      </c>
      <c r="T4" s="7" t="s">
        <v>777</v>
      </c>
      <c r="U4" s="7" t="s">
        <v>771</v>
      </c>
      <c r="V4" s="7" t="s">
        <v>685</v>
      </c>
      <c r="W4" s="7"/>
      <c r="X4" s="7" t="s">
        <v>761</v>
      </c>
    </row>
    <row r="5" spans="1:24" x14ac:dyDescent="0.25">
      <c r="A5" s="31" t="s">
        <v>688</v>
      </c>
      <c r="B5" s="31" t="s">
        <v>862</v>
      </c>
      <c r="C5" s="7" t="s">
        <v>771</v>
      </c>
      <c r="D5" s="7">
        <v>31003</v>
      </c>
      <c r="E5" s="7" t="s">
        <v>686</v>
      </c>
      <c r="F5" s="7" t="s">
        <v>939</v>
      </c>
      <c r="G5" s="7" t="s">
        <v>686</v>
      </c>
      <c r="H5" s="7">
        <v>4</v>
      </c>
      <c r="I5" s="7" t="s">
        <v>686</v>
      </c>
      <c r="J5" s="7">
        <v>0</v>
      </c>
      <c r="K5" s="7" t="s">
        <v>686</v>
      </c>
      <c r="L5" s="7">
        <v>3</v>
      </c>
      <c r="M5" s="7" t="s">
        <v>686</v>
      </c>
      <c r="N5" s="7" t="s">
        <v>784</v>
      </c>
      <c r="O5" s="7" t="s">
        <v>774</v>
      </c>
      <c r="P5" s="7" t="s">
        <v>776</v>
      </c>
      <c r="Q5" s="7" t="s">
        <v>686</v>
      </c>
      <c r="R5" s="7">
        <v>1</v>
      </c>
      <c r="S5" s="7" t="s">
        <v>772</v>
      </c>
      <c r="T5" s="7" t="s">
        <v>777</v>
      </c>
      <c r="U5" s="7" t="s">
        <v>771</v>
      </c>
      <c r="V5" s="7" t="s">
        <v>685</v>
      </c>
      <c r="W5" s="7"/>
      <c r="X5" s="7" t="s">
        <v>761</v>
      </c>
    </row>
    <row r="6" spans="1:24" x14ac:dyDescent="0.25">
      <c r="A6" s="31" t="s">
        <v>688</v>
      </c>
      <c r="B6" s="31" t="s">
        <v>862</v>
      </c>
      <c r="C6" s="7" t="s">
        <v>771</v>
      </c>
      <c r="D6" s="7">
        <v>31004</v>
      </c>
      <c r="E6" s="7" t="s">
        <v>686</v>
      </c>
      <c r="F6" s="7" t="s">
        <v>939</v>
      </c>
      <c r="G6" s="7" t="s">
        <v>686</v>
      </c>
      <c r="H6" s="7">
        <v>5</v>
      </c>
      <c r="I6" s="7" t="s">
        <v>686</v>
      </c>
      <c r="J6" s="7">
        <v>0</v>
      </c>
      <c r="K6" s="7" t="s">
        <v>686</v>
      </c>
      <c r="L6" s="7">
        <v>4</v>
      </c>
      <c r="M6" s="7" t="s">
        <v>686</v>
      </c>
      <c r="N6" s="7" t="s">
        <v>784</v>
      </c>
      <c r="O6" s="7" t="s">
        <v>774</v>
      </c>
      <c r="P6" s="7" t="s">
        <v>776</v>
      </c>
      <c r="Q6" s="7" t="s">
        <v>686</v>
      </c>
      <c r="R6" s="7">
        <v>1</v>
      </c>
      <c r="S6" s="7" t="s">
        <v>772</v>
      </c>
      <c r="T6" s="7" t="s">
        <v>777</v>
      </c>
      <c r="U6" s="7" t="s">
        <v>771</v>
      </c>
      <c r="V6" s="7" t="s">
        <v>685</v>
      </c>
      <c r="W6" s="7"/>
      <c r="X6" s="7" t="s">
        <v>761</v>
      </c>
    </row>
    <row r="7" spans="1:24" x14ac:dyDescent="0.25">
      <c r="A7" s="31" t="s">
        <v>688</v>
      </c>
      <c r="B7" s="31" t="s">
        <v>862</v>
      </c>
      <c r="C7" s="7" t="s">
        <v>771</v>
      </c>
      <c r="D7" s="7">
        <v>31005</v>
      </c>
      <c r="E7" s="7" t="s">
        <v>686</v>
      </c>
      <c r="F7" s="7" t="s">
        <v>939</v>
      </c>
      <c r="G7" s="7" t="s">
        <v>686</v>
      </c>
      <c r="H7" s="7">
        <v>6</v>
      </c>
      <c r="I7" s="7" t="s">
        <v>686</v>
      </c>
      <c r="J7" s="7">
        <v>0</v>
      </c>
      <c r="K7" s="7" t="s">
        <v>686</v>
      </c>
      <c r="L7" s="7">
        <v>5</v>
      </c>
      <c r="M7" s="7" t="s">
        <v>686</v>
      </c>
      <c r="N7" s="7" t="s">
        <v>784</v>
      </c>
      <c r="O7" s="7" t="s">
        <v>774</v>
      </c>
      <c r="P7" s="7" t="s">
        <v>776</v>
      </c>
      <c r="Q7" s="7" t="s">
        <v>686</v>
      </c>
      <c r="R7" s="7">
        <v>1</v>
      </c>
      <c r="S7" s="7" t="s">
        <v>772</v>
      </c>
      <c r="T7" s="7" t="s">
        <v>777</v>
      </c>
      <c r="U7" s="7" t="s">
        <v>771</v>
      </c>
      <c r="V7" s="7" t="s">
        <v>685</v>
      </c>
      <c r="W7" s="7"/>
      <c r="X7" s="7" t="s">
        <v>761</v>
      </c>
    </row>
    <row r="8" spans="1:24" x14ac:dyDescent="0.25">
      <c r="A8" s="31" t="s">
        <v>688</v>
      </c>
      <c r="B8" s="31" t="s">
        <v>862</v>
      </c>
      <c r="C8" s="7" t="s">
        <v>771</v>
      </c>
      <c r="D8" s="7">
        <v>31006</v>
      </c>
      <c r="E8" s="7" t="s">
        <v>686</v>
      </c>
      <c r="F8" s="7" t="s">
        <v>939</v>
      </c>
      <c r="G8" s="7" t="s">
        <v>686</v>
      </c>
      <c r="H8" s="7">
        <v>7</v>
      </c>
      <c r="I8" s="7" t="s">
        <v>686</v>
      </c>
      <c r="J8" s="7">
        <v>0</v>
      </c>
      <c r="K8" s="7" t="s">
        <v>686</v>
      </c>
      <c r="L8" s="7">
        <v>6</v>
      </c>
      <c r="M8" s="7" t="s">
        <v>686</v>
      </c>
      <c r="N8" s="7" t="s">
        <v>784</v>
      </c>
      <c r="O8" s="7" t="s">
        <v>774</v>
      </c>
      <c r="P8" s="7" t="s">
        <v>776</v>
      </c>
      <c r="Q8" s="7" t="s">
        <v>686</v>
      </c>
      <c r="R8" s="7">
        <v>1</v>
      </c>
      <c r="S8" s="7" t="s">
        <v>772</v>
      </c>
      <c r="T8" s="7" t="s">
        <v>777</v>
      </c>
      <c r="U8" s="7" t="s">
        <v>771</v>
      </c>
      <c r="V8" s="7" t="s">
        <v>685</v>
      </c>
      <c r="W8" s="7"/>
      <c r="X8" s="7" t="s">
        <v>761</v>
      </c>
    </row>
    <row r="9" spans="1:24" x14ac:dyDescent="0.25">
      <c r="A9" s="31" t="s">
        <v>688</v>
      </c>
      <c r="B9" s="31" t="s">
        <v>862</v>
      </c>
      <c r="C9" s="7" t="s">
        <v>771</v>
      </c>
      <c r="D9" s="7">
        <v>31007</v>
      </c>
      <c r="E9" s="7" t="s">
        <v>686</v>
      </c>
      <c r="F9" s="7" t="s">
        <v>939</v>
      </c>
      <c r="G9" s="7" t="s">
        <v>686</v>
      </c>
      <c r="H9" s="7">
        <v>8</v>
      </c>
      <c r="I9" s="7" t="s">
        <v>686</v>
      </c>
      <c r="J9" s="7">
        <v>0</v>
      </c>
      <c r="K9" s="7" t="s">
        <v>686</v>
      </c>
      <c r="L9" s="7">
        <v>7</v>
      </c>
      <c r="M9" s="7" t="s">
        <v>686</v>
      </c>
      <c r="N9" s="7" t="s">
        <v>784</v>
      </c>
      <c r="O9" s="7" t="s">
        <v>774</v>
      </c>
      <c r="P9" s="7" t="s">
        <v>776</v>
      </c>
      <c r="Q9" s="7" t="s">
        <v>686</v>
      </c>
      <c r="R9" s="7">
        <v>1</v>
      </c>
      <c r="S9" s="7" t="s">
        <v>772</v>
      </c>
      <c r="T9" s="7" t="s">
        <v>777</v>
      </c>
      <c r="U9" s="7" t="s">
        <v>771</v>
      </c>
      <c r="V9" s="7" t="s">
        <v>685</v>
      </c>
      <c r="W9" s="7"/>
      <c r="X9" s="7" t="s">
        <v>761</v>
      </c>
    </row>
    <row r="10" spans="1:24" x14ac:dyDescent="0.25">
      <c r="A10" s="31" t="s">
        <v>688</v>
      </c>
      <c r="B10" s="31" t="s">
        <v>862</v>
      </c>
      <c r="C10" s="7" t="s">
        <v>771</v>
      </c>
      <c r="D10" s="7">
        <v>31008</v>
      </c>
      <c r="E10" s="7" t="s">
        <v>686</v>
      </c>
      <c r="F10" s="7" t="s">
        <v>939</v>
      </c>
      <c r="G10" s="7" t="s">
        <v>686</v>
      </c>
      <c r="H10" s="7">
        <v>9</v>
      </c>
      <c r="I10" s="7" t="s">
        <v>686</v>
      </c>
      <c r="J10" s="7">
        <v>0</v>
      </c>
      <c r="K10" s="7" t="s">
        <v>686</v>
      </c>
      <c r="L10" s="7">
        <v>8</v>
      </c>
      <c r="M10" s="7" t="s">
        <v>686</v>
      </c>
      <c r="N10" s="7" t="s">
        <v>784</v>
      </c>
      <c r="O10" s="7" t="s">
        <v>774</v>
      </c>
      <c r="P10" s="7" t="s">
        <v>776</v>
      </c>
      <c r="Q10" s="7" t="s">
        <v>686</v>
      </c>
      <c r="R10" s="7">
        <v>1</v>
      </c>
      <c r="S10" s="7" t="s">
        <v>772</v>
      </c>
      <c r="T10" s="7" t="s">
        <v>777</v>
      </c>
      <c r="U10" s="7" t="s">
        <v>771</v>
      </c>
      <c r="V10" s="7" t="s">
        <v>685</v>
      </c>
      <c r="W10" s="7"/>
      <c r="X10" s="7" t="s">
        <v>761</v>
      </c>
    </row>
    <row r="11" spans="1:24" x14ac:dyDescent="0.25">
      <c r="A11" s="31" t="s">
        <v>688</v>
      </c>
      <c r="B11" s="31" t="s">
        <v>862</v>
      </c>
      <c r="C11" s="7" t="s">
        <v>771</v>
      </c>
      <c r="D11" s="7">
        <v>31009</v>
      </c>
      <c r="E11" s="7" t="s">
        <v>686</v>
      </c>
      <c r="F11" s="7" t="s">
        <v>939</v>
      </c>
      <c r="G11" s="7" t="s">
        <v>686</v>
      </c>
      <c r="H11" s="7">
        <v>10</v>
      </c>
      <c r="I11" s="7" t="s">
        <v>686</v>
      </c>
      <c r="J11" s="7">
        <v>0</v>
      </c>
      <c r="K11" s="7" t="s">
        <v>686</v>
      </c>
      <c r="L11" s="7">
        <v>9</v>
      </c>
      <c r="M11" s="7" t="s">
        <v>686</v>
      </c>
      <c r="N11" s="7" t="s">
        <v>784</v>
      </c>
      <c r="O11" s="7" t="s">
        <v>774</v>
      </c>
      <c r="P11" s="7" t="s">
        <v>776</v>
      </c>
      <c r="Q11" s="7" t="s">
        <v>686</v>
      </c>
      <c r="R11" s="7">
        <v>1</v>
      </c>
      <c r="S11" s="7" t="s">
        <v>772</v>
      </c>
      <c r="T11" s="7" t="s">
        <v>777</v>
      </c>
      <c r="U11" s="7" t="s">
        <v>771</v>
      </c>
      <c r="V11" s="7" t="s">
        <v>685</v>
      </c>
      <c r="W11" s="7"/>
      <c r="X11" s="7" t="s">
        <v>761</v>
      </c>
    </row>
    <row r="12" spans="1:24" x14ac:dyDescent="0.25">
      <c r="A12" s="32" t="s">
        <v>688</v>
      </c>
      <c r="B12" s="32" t="s">
        <v>863</v>
      </c>
      <c r="C12" s="27" t="s">
        <v>771</v>
      </c>
      <c r="D12" s="27">
        <v>31100</v>
      </c>
      <c r="E12" s="27" t="s">
        <v>686</v>
      </c>
      <c r="F12" s="27" t="s">
        <v>943</v>
      </c>
      <c r="G12" s="27" t="s">
        <v>686</v>
      </c>
      <c r="H12" s="27">
        <v>11</v>
      </c>
      <c r="I12" s="27" t="s">
        <v>686</v>
      </c>
      <c r="J12" s="27">
        <v>1</v>
      </c>
      <c r="K12" s="27" t="s">
        <v>686</v>
      </c>
      <c r="L12" s="27">
        <v>0</v>
      </c>
      <c r="M12" s="27" t="s">
        <v>686</v>
      </c>
      <c r="N12" s="27" t="s">
        <v>784</v>
      </c>
      <c r="O12" s="27" t="s">
        <v>773</v>
      </c>
      <c r="P12" s="27" t="s">
        <v>776</v>
      </c>
      <c r="Q12" s="27" t="s">
        <v>686</v>
      </c>
      <c r="R12" s="27" t="s">
        <v>246</v>
      </c>
      <c r="S12" s="27" t="s">
        <v>772</v>
      </c>
      <c r="T12" s="27" t="s">
        <v>777</v>
      </c>
      <c r="U12" s="27" t="s">
        <v>771</v>
      </c>
      <c r="V12" s="27" t="s">
        <v>685</v>
      </c>
      <c r="W12" s="27"/>
      <c r="X12" s="27" t="s">
        <v>761</v>
      </c>
    </row>
    <row r="13" spans="1:24" x14ac:dyDescent="0.25">
      <c r="A13" s="31" t="s">
        <v>688</v>
      </c>
      <c r="B13" s="31" t="s">
        <v>864</v>
      </c>
      <c r="C13" s="7" t="s">
        <v>771</v>
      </c>
      <c r="D13" s="7">
        <v>31200</v>
      </c>
      <c r="E13" s="7" t="s">
        <v>686</v>
      </c>
      <c r="F13" s="7" t="s">
        <v>940</v>
      </c>
      <c r="G13" s="7" t="s">
        <v>686</v>
      </c>
      <c r="H13" s="7">
        <v>12</v>
      </c>
      <c r="I13" s="7" t="s">
        <v>686</v>
      </c>
      <c r="J13" s="7">
        <v>10</v>
      </c>
      <c r="K13" s="7" t="s">
        <v>686</v>
      </c>
      <c r="L13" s="7">
        <v>0</v>
      </c>
      <c r="M13" s="7" t="s">
        <v>686</v>
      </c>
      <c r="N13" s="7" t="s">
        <v>784</v>
      </c>
      <c r="O13" s="7" t="s">
        <v>774</v>
      </c>
      <c r="P13" s="7" t="s">
        <v>776</v>
      </c>
      <c r="Q13" s="7" t="s">
        <v>686</v>
      </c>
      <c r="R13" s="7">
        <v>1</v>
      </c>
      <c r="S13" s="7" t="s">
        <v>772</v>
      </c>
      <c r="T13" s="7" t="s">
        <v>777</v>
      </c>
      <c r="U13" s="7" t="s">
        <v>771</v>
      </c>
      <c r="V13" s="7" t="s">
        <v>685</v>
      </c>
      <c r="W13" s="7"/>
      <c r="X13" s="7" t="s">
        <v>761</v>
      </c>
    </row>
    <row r="14" spans="1:24" x14ac:dyDescent="0.25">
      <c r="A14" s="31" t="s">
        <v>688</v>
      </c>
      <c r="B14" s="31" t="s">
        <v>864</v>
      </c>
      <c r="C14" s="7" t="s">
        <v>771</v>
      </c>
      <c r="D14" s="7">
        <v>31201</v>
      </c>
      <c r="E14" s="7" t="s">
        <v>686</v>
      </c>
      <c r="F14" s="7" t="s">
        <v>940</v>
      </c>
      <c r="G14" s="7" t="s">
        <v>686</v>
      </c>
      <c r="H14" s="7">
        <v>13</v>
      </c>
      <c r="I14" s="7" t="s">
        <v>686</v>
      </c>
      <c r="J14" s="7">
        <v>0</v>
      </c>
      <c r="K14" s="7" t="s">
        <v>686</v>
      </c>
      <c r="L14" s="7">
        <v>1</v>
      </c>
      <c r="M14" s="7" t="s">
        <v>686</v>
      </c>
      <c r="N14" s="7" t="s">
        <v>784</v>
      </c>
      <c r="O14" s="7" t="s">
        <v>774</v>
      </c>
      <c r="P14" s="7" t="s">
        <v>776</v>
      </c>
      <c r="Q14" s="7" t="s">
        <v>686</v>
      </c>
      <c r="R14" s="7">
        <v>1</v>
      </c>
      <c r="S14" s="7" t="s">
        <v>772</v>
      </c>
      <c r="T14" s="7" t="s">
        <v>777</v>
      </c>
      <c r="U14" s="7" t="s">
        <v>771</v>
      </c>
      <c r="V14" s="7" t="s">
        <v>685</v>
      </c>
      <c r="W14" s="7"/>
      <c r="X14" s="7" t="s">
        <v>761</v>
      </c>
    </row>
    <row r="15" spans="1:24" x14ac:dyDescent="0.25">
      <c r="A15" s="31" t="s">
        <v>688</v>
      </c>
      <c r="B15" s="31" t="s">
        <v>864</v>
      </c>
      <c r="C15" s="7" t="s">
        <v>771</v>
      </c>
      <c r="D15" s="7">
        <v>31202</v>
      </c>
      <c r="E15" s="7" t="s">
        <v>686</v>
      </c>
      <c r="F15" s="7" t="s">
        <v>940</v>
      </c>
      <c r="G15" s="7" t="s">
        <v>686</v>
      </c>
      <c r="H15" s="7">
        <v>14</v>
      </c>
      <c r="I15" s="7" t="s">
        <v>686</v>
      </c>
      <c r="J15" s="7">
        <v>0</v>
      </c>
      <c r="K15" s="7" t="s">
        <v>686</v>
      </c>
      <c r="L15" s="7">
        <v>2</v>
      </c>
      <c r="M15" s="7" t="s">
        <v>686</v>
      </c>
      <c r="N15" s="7" t="s">
        <v>784</v>
      </c>
      <c r="O15" s="7" t="s">
        <v>774</v>
      </c>
      <c r="P15" s="7" t="s">
        <v>776</v>
      </c>
      <c r="Q15" s="7" t="s">
        <v>686</v>
      </c>
      <c r="R15" s="7">
        <v>1</v>
      </c>
      <c r="S15" s="7" t="s">
        <v>772</v>
      </c>
      <c r="T15" s="7" t="s">
        <v>777</v>
      </c>
      <c r="U15" s="7" t="s">
        <v>771</v>
      </c>
      <c r="V15" s="7" t="s">
        <v>685</v>
      </c>
      <c r="W15" s="7"/>
      <c r="X15" s="7" t="s">
        <v>761</v>
      </c>
    </row>
    <row r="16" spans="1:24" x14ac:dyDescent="0.25">
      <c r="A16" s="31" t="s">
        <v>688</v>
      </c>
      <c r="B16" s="31" t="s">
        <v>864</v>
      </c>
      <c r="C16" s="7" t="s">
        <v>771</v>
      </c>
      <c r="D16" s="7">
        <v>31203</v>
      </c>
      <c r="E16" s="7" t="s">
        <v>686</v>
      </c>
      <c r="F16" s="7" t="s">
        <v>940</v>
      </c>
      <c r="G16" s="7" t="s">
        <v>686</v>
      </c>
      <c r="H16" s="7">
        <v>15</v>
      </c>
      <c r="I16" s="7" t="s">
        <v>686</v>
      </c>
      <c r="J16" s="7">
        <v>0</v>
      </c>
      <c r="K16" s="7" t="s">
        <v>686</v>
      </c>
      <c r="L16" s="7">
        <v>3</v>
      </c>
      <c r="M16" s="7" t="s">
        <v>686</v>
      </c>
      <c r="N16" s="7" t="s">
        <v>784</v>
      </c>
      <c r="O16" s="7" t="s">
        <v>774</v>
      </c>
      <c r="P16" s="7" t="s">
        <v>776</v>
      </c>
      <c r="Q16" s="7" t="s">
        <v>686</v>
      </c>
      <c r="R16" s="7">
        <v>1</v>
      </c>
      <c r="S16" s="7" t="s">
        <v>772</v>
      </c>
      <c r="T16" s="7" t="s">
        <v>777</v>
      </c>
      <c r="U16" s="7" t="s">
        <v>771</v>
      </c>
      <c r="V16" s="7" t="s">
        <v>685</v>
      </c>
      <c r="W16" s="7"/>
      <c r="X16" s="7" t="s">
        <v>761</v>
      </c>
    </row>
    <row r="17" spans="1:24" x14ac:dyDescent="0.25">
      <c r="A17" s="31" t="s">
        <v>688</v>
      </c>
      <c r="B17" s="31" t="s">
        <v>864</v>
      </c>
      <c r="C17" s="7" t="s">
        <v>771</v>
      </c>
      <c r="D17" s="7">
        <v>31204</v>
      </c>
      <c r="E17" s="7" t="s">
        <v>686</v>
      </c>
      <c r="F17" s="7" t="s">
        <v>940</v>
      </c>
      <c r="G17" s="7" t="s">
        <v>686</v>
      </c>
      <c r="H17" s="7">
        <v>16</v>
      </c>
      <c r="I17" s="7" t="s">
        <v>686</v>
      </c>
      <c r="J17" s="7">
        <v>0</v>
      </c>
      <c r="K17" s="7" t="s">
        <v>686</v>
      </c>
      <c r="L17" s="7">
        <v>4</v>
      </c>
      <c r="M17" s="7" t="s">
        <v>686</v>
      </c>
      <c r="N17" s="7" t="s">
        <v>784</v>
      </c>
      <c r="O17" s="7" t="s">
        <v>774</v>
      </c>
      <c r="P17" s="7" t="s">
        <v>776</v>
      </c>
      <c r="Q17" s="7" t="s">
        <v>686</v>
      </c>
      <c r="R17" s="7">
        <v>1</v>
      </c>
      <c r="S17" s="7" t="s">
        <v>772</v>
      </c>
      <c r="T17" s="7" t="s">
        <v>777</v>
      </c>
      <c r="U17" s="7" t="s">
        <v>771</v>
      </c>
      <c r="V17" s="7" t="s">
        <v>685</v>
      </c>
      <c r="W17" s="7"/>
      <c r="X17" s="7" t="s">
        <v>761</v>
      </c>
    </row>
    <row r="18" spans="1:24" x14ac:dyDescent="0.25">
      <c r="A18" s="31" t="s">
        <v>688</v>
      </c>
      <c r="B18" s="31" t="s">
        <v>864</v>
      </c>
      <c r="C18" s="7" t="s">
        <v>771</v>
      </c>
      <c r="D18" s="7">
        <v>31205</v>
      </c>
      <c r="E18" s="7" t="s">
        <v>686</v>
      </c>
      <c r="F18" s="7" t="s">
        <v>940</v>
      </c>
      <c r="G18" s="7" t="s">
        <v>686</v>
      </c>
      <c r="H18" s="7">
        <v>17</v>
      </c>
      <c r="I18" s="7" t="s">
        <v>686</v>
      </c>
      <c r="J18" s="7">
        <v>0</v>
      </c>
      <c r="K18" s="7" t="s">
        <v>686</v>
      </c>
      <c r="L18" s="7">
        <v>5</v>
      </c>
      <c r="M18" s="7" t="s">
        <v>686</v>
      </c>
      <c r="N18" s="7" t="s">
        <v>784</v>
      </c>
      <c r="O18" s="7" t="s">
        <v>774</v>
      </c>
      <c r="P18" s="7" t="s">
        <v>776</v>
      </c>
      <c r="Q18" s="7" t="s">
        <v>686</v>
      </c>
      <c r="R18" s="7">
        <v>1</v>
      </c>
      <c r="S18" s="7" t="s">
        <v>772</v>
      </c>
      <c r="T18" s="7" t="s">
        <v>777</v>
      </c>
      <c r="U18" s="7" t="s">
        <v>771</v>
      </c>
      <c r="V18" s="7" t="s">
        <v>685</v>
      </c>
      <c r="W18" s="7"/>
      <c r="X18" s="7" t="s">
        <v>761</v>
      </c>
    </row>
    <row r="19" spans="1:24" x14ac:dyDescent="0.25">
      <c r="A19" s="31" t="s">
        <v>688</v>
      </c>
      <c r="B19" s="31" t="s">
        <v>864</v>
      </c>
      <c r="C19" s="7" t="s">
        <v>771</v>
      </c>
      <c r="D19" s="7">
        <v>31206</v>
      </c>
      <c r="E19" s="7" t="s">
        <v>686</v>
      </c>
      <c r="F19" s="7" t="s">
        <v>940</v>
      </c>
      <c r="G19" s="7" t="s">
        <v>686</v>
      </c>
      <c r="H19" s="7">
        <v>18</v>
      </c>
      <c r="I19" s="7" t="s">
        <v>686</v>
      </c>
      <c r="J19" s="7">
        <v>0</v>
      </c>
      <c r="K19" s="7" t="s">
        <v>686</v>
      </c>
      <c r="L19" s="7">
        <v>6</v>
      </c>
      <c r="M19" s="7" t="s">
        <v>686</v>
      </c>
      <c r="N19" s="7" t="s">
        <v>784</v>
      </c>
      <c r="O19" s="7" t="s">
        <v>774</v>
      </c>
      <c r="P19" s="7" t="s">
        <v>776</v>
      </c>
      <c r="Q19" s="7" t="s">
        <v>686</v>
      </c>
      <c r="R19" s="7">
        <v>1</v>
      </c>
      <c r="S19" s="7" t="s">
        <v>772</v>
      </c>
      <c r="T19" s="7" t="s">
        <v>777</v>
      </c>
      <c r="U19" s="7" t="s">
        <v>771</v>
      </c>
      <c r="V19" s="7" t="s">
        <v>685</v>
      </c>
      <c r="W19" s="7"/>
      <c r="X19" s="7" t="s">
        <v>761</v>
      </c>
    </row>
    <row r="20" spans="1:24" x14ac:dyDescent="0.25">
      <c r="A20" s="31" t="s">
        <v>688</v>
      </c>
      <c r="B20" s="31" t="s">
        <v>864</v>
      </c>
      <c r="C20" s="7" t="s">
        <v>771</v>
      </c>
      <c r="D20" s="7">
        <v>31207</v>
      </c>
      <c r="E20" s="7" t="s">
        <v>686</v>
      </c>
      <c r="F20" s="7" t="s">
        <v>940</v>
      </c>
      <c r="G20" s="7" t="s">
        <v>686</v>
      </c>
      <c r="H20" s="7">
        <v>19</v>
      </c>
      <c r="I20" s="7" t="s">
        <v>686</v>
      </c>
      <c r="J20" s="7">
        <v>0</v>
      </c>
      <c r="K20" s="7" t="s">
        <v>686</v>
      </c>
      <c r="L20" s="7">
        <v>7</v>
      </c>
      <c r="M20" s="7" t="s">
        <v>686</v>
      </c>
      <c r="N20" s="7" t="s">
        <v>784</v>
      </c>
      <c r="O20" s="7" t="s">
        <v>774</v>
      </c>
      <c r="P20" s="7" t="s">
        <v>776</v>
      </c>
      <c r="Q20" s="7" t="s">
        <v>686</v>
      </c>
      <c r="R20" s="7">
        <v>1</v>
      </c>
      <c r="S20" s="7" t="s">
        <v>772</v>
      </c>
      <c r="T20" s="7" t="s">
        <v>777</v>
      </c>
      <c r="U20" s="7" t="s">
        <v>771</v>
      </c>
      <c r="V20" s="7" t="s">
        <v>685</v>
      </c>
      <c r="W20" s="7"/>
      <c r="X20" s="7" t="s">
        <v>761</v>
      </c>
    </row>
    <row r="21" spans="1:24" x14ac:dyDescent="0.25">
      <c r="A21" s="31" t="s">
        <v>688</v>
      </c>
      <c r="B21" s="31" t="s">
        <v>864</v>
      </c>
      <c r="C21" s="7" t="s">
        <v>771</v>
      </c>
      <c r="D21" s="7">
        <v>31208</v>
      </c>
      <c r="E21" s="7" t="s">
        <v>686</v>
      </c>
      <c r="F21" s="7" t="s">
        <v>940</v>
      </c>
      <c r="G21" s="7" t="s">
        <v>686</v>
      </c>
      <c r="H21" s="7">
        <v>20</v>
      </c>
      <c r="I21" s="7" t="s">
        <v>686</v>
      </c>
      <c r="J21" s="7">
        <v>0</v>
      </c>
      <c r="K21" s="7" t="s">
        <v>686</v>
      </c>
      <c r="L21" s="7">
        <v>8</v>
      </c>
      <c r="M21" s="7" t="s">
        <v>686</v>
      </c>
      <c r="N21" s="7" t="s">
        <v>784</v>
      </c>
      <c r="O21" s="7" t="s">
        <v>774</v>
      </c>
      <c r="P21" s="7" t="s">
        <v>776</v>
      </c>
      <c r="Q21" s="7" t="s">
        <v>686</v>
      </c>
      <c r="R21" s="7">
        <v>1</v>
      </c>
      <c r="S21" s="7" t="s">
        <v>772</v>
      </c>
      <c r="T21" s="7" t="s">
        <v>777</v>
      </c>
      <c r="U21" s="7" t="s">
        <v>771</v>
      </c>
      <c r="V21" s="7" t="s">
        <v>685</v>
      </c>
      <c r="W21" s="7"/>
      <c r="X21" s="7" t="s">
        <v>761</v>
      </c>
    </row>
    <row r="22" spans="1:24" x14ac:dyDescent="0.25">
      <c r="A22" s="31" t="s">
        <v>688</v>
      </c>
      <c r="B22" s="31" t="s">
        <v>864</v>
      </c>
      <c r="C22" s="7" t="s">
        <v>771</v>
      </c>
      <c r="D22" s="7">
        <v>31209</v>
      </c>
      <c r="E22" s="7" t="s">
        <v>686</v>
      </c>
      <c r="F22" s="7" t="s">
        <v>940</v>
      </c>
      <c r="G22" s="7" t="s">
        <v>686</v>
      </c>
      <c r="H22" s="7">
        <v>21</v>
      </c>
      <c r="I22" s="7" t="s">
        <v>686</v>
      </c>
      <c r="J22" s="7">
        <v>0</v>
      </c>
      <c r="K22" s="7" t="s">
        <v>686</v>
      </c>
      <c r="L22" s="7">
        <v>9</v>
      </c>
      <c r="M22" s="7" t="s">
        <v>686</v>
      </c>
      <c r="N22" s="7" t="s">
        <v>784</v>
      </c>
      <c r="O22" s="7" t="s">
        <v>774</v>
      </c>
      <c r="P22" s="7" t="s">
        <v>776</v>
      </c>
      <c r="Q22" s="7" t="s">
        <v>686</v>
      </c>
      <c r="R22" s="7">
        <v>1</v>
      </c>
      <c r="S22" s="7" t="s">
        <v>772</v>
      </c>
      <c r="T22" s="7" t="s">
        <v>777</v>
      </c>
      <c r="U22" s="7" t="s">
        <v>771</v>
      </c>
      <c r="V22" s="7" t="s">
        <v>685</v>
      </c>
      <c r="W22" s="7"/>
      <c r="X22" s="7" t="s">
        <v>761</v>
      </c>
    </row>
    <row r="23" spans="1:24" x14ac:dyDescent="0.25">
      <c r="A23" s="32" t="s">
        <v>688</v>
      </c>
      <c r="B23" s="32" t="s">
        <v>865</v>
      </c>
      <c r="C23" s="27" t="s">
        <v>771</v>
      </c>
      <c r="D23" s="27">
        <v>32100</v>
      </c>
      <c r="E23" s="27" t="s">
        <v>686</v>
      </c>
      <c r="F23" s="27" t="s">
        <v>941</v>
      </c>
      <c r="G23" s="27" t="s">
        <v>686</v>
      </c>
      <c r="H23" s="27">
        <v>22</v>
      </c>
      <c r="I23" s="27" t="s">
        <v>686</v>
      </c>
      <c r="J23" s="27">
        <v>6</v>
      </c>
      <c r="K23" s="27" t="s">
        <v>686</v>
      </c>
      <c r="L23" s="27">
        <v>0</v>
      </c>
      <c r="M23" s="27" t="s">
        <v>686</v>
      </c>
      <c r="N23" s="27" t="s">
        <v>784</v>
      </c>
      <c r="O23" s="27" t="s">
        <v>773</v>
      </c>
      <c r="P23" s="27" t="s">
        <v>776</v>
      </c>
      <c r="Q23" s="27" t="s">
        <v>686</v>
      </c>
      <c r="R23" s="27" t="s">
        <v>246</v>
      </c>
      <c r="S23" s="27" t="s">
        <v>772</v>
      </c>
      <c r="T23" s="27" t="s">
        <v>767</v>
      </c>
      <c r="U23" s="27" t="s">
        <v>771</v>
      </c>
      <c r="V23" s="27" t="s">
        <v>685</v>
      </c>
      <c r="W23" s="27"/>
      <c r="X23" s="27" t="s">
        <v>761</v>
      </c>
    </row>
    <row r="24" spans="1:24" x14ac:dyDescent="0.25">
      <c r="A24" s="32" t="s">
        <v>688</v>
      </c>
      <c r="B24" s="32" t="s">
        <v>866</v>
      </c>
      <c r="C24" s="27" t="s">
        <v>771</v>
      </c>
      <c r="D24" s="27">
        <v>32101</v>
      </c>
      <c r="E24" s="27" t="s">
        <v>686</v>
      </c>
      <c r="F24" s="27" t="s">
        <v>941</v>
      </c>
      <c r="G24" s="27" t="s">
        <v>686</v>
      </c>
      <c r="H24" s="27">
        <v>23</v>
      </c>
      <c r="I24" s="27" t="s">
        <v>686</v>
      </c>
      <c r="J24" s="27">
        <v>0</v>
      </c>
      <c r="K24" s="27" t="s">
        <v>686</v>
      </c>
      <c r="L24" s="27">
        <v>1</v>
      </c>
      <c r="M24" s="27" t="s">
        <v>686</v>
      </c>
      <c r="N24" s="27" t="s">
        <v>784</v>
      </c>
      <c r="O24" s="27" t="s">
        <v>775</v>
      </c>
      <c r="P24" s="27" t="s">
        <v>776</v>
      </c>
      <c r="Q24" s="27" t="s">
        <v>686</v>
      </c>
      <c r="R24" s="27" t="s">
        <v>246</v>
      </c>
      <c r="S24" s="27" t="s">
        <v>772</v>
      </c>
      <c r="T24" s="27" t="s">
        <v>768</v>
      </c>
      <c r="U24" s="27" t="s">
        <v>771</v>
      </c>
      <c r="V24" s="27" t="s">
        <v>685</v>
      </c>
      <c r="W24" s="27"/>
      <c r="X24" s="27" t="s">
        <v>761</v>
      </c>
    </row>
    <row r="25" spans="1:24" x14ac:dyDescent="0.25">
      <c r="A25" s="32" t="s">
        <v>688</v>
      </c>
      <c r="B25" s="32" t="s">
        <v>921</v>
      </c>
      <c r="C25" s="27" t="s">
        <v>771</v>
      </c>
      <c r="D25" s="27">
        <v>32102</v>
      </c>
      <c r="E25" s="27" t="s">
        <v>686</v>
      </c>
      <c r="F25" s="27" t="s">
        <v>941</v>
      </c>
      <c r="G25" s="27" t="s">
        <v>686</v>
      </c>
      <c r="H25" s="27">
        <v>24</v>
      </c>
      <c r="I25" s="27" t="s">
        <v>686</v>
      </c>
      <c r="J25" s="27">
        <v>0</v>
      </c>
      <c r="K25" s="27" t="s">
        <v>686</v>
      </c>
      <c r="L25" s="27">
        <v>2</v>
      </c>
      <c r="M25" s="27" t="s">
        <v>686</v>
      </c>
      <c r="N25" s="27" t="s">
        <v>784</v>
      </c>
      <c r="O25" s="27" t="s">
        <v>775</v>
      </c>
      <c r="P25" s="27" t="s">
        <v>776</v>
      </c>
      <c r="Q25" s="27" t="s">
        <v>686</v>
      </c>
      <c r="R25" s="27">
        <v>1</v>
      </c>
      <c r="S25" s="27" t="s">
        <v>772</v>
      </c>
      <c r="T25" s="27" t="s">
        <v>765</v>
      </c>
      <c r="U25" s="27" t="s">
        <v>771</v>
      </c>
      <c r="V25" s="27" t="s">
        <v>685</v>
      </c>
      <c r="W25" s="27" t="s">
        <v>906</v>
      </c>
      <c r="X25" s="27" t="s">
        <v>761</v>
      </c>
    </row>
    <row r="26" spans="1:24" x14ac:dyDescent="0.25">
      <c r="A26" s="32" t="s">
        <v>688</v>
      </c>
      <c r="B26" s="32" t="s">
        <v>922</v>
      </c>
      <c r="C26" s="27" t="s">
        <v>771</v>
      </c>
      <c r="D26" s="27">
        <v>32103</v>
      </c>
      <c r="E26" s="27" t="s">
        <v>686</v>
      </c>
      <c r="F26" s="27" t="s">
        <v>941</v>
      </c>
      <c r="G26" s="27" t="s">
        <v>686</v>
      </c>
      <c r="H26" s="27">
        <v>25</v>
      </c>
      <c r="I26" s="27" t="s">
        <v>686</v>
      </c>
      <c r="J26" s="27">
        <v>0</v>
      </c>
      <c r="K26" s="27" t="s">
        <v>686</v>
      </c>
      <c r="L26" s="27">
        <v>3</v>
      </c>
      <c r="M26" s="27" t="s">
        <v>686</v>
      </c>
      <c r="N26" s="27" t="s">
        <v>784</v>
      </c>
      <c r="O26" s="27" t="s">
        <v>775</v>
      </c>
      <c r="P26" s="27" t="s">
        <v>776</v>
      </c>
      <c r="Q26" s="27" t="s">
        <v>686</v>
      </c>
      <c r="R26" s="27">
        <v>1</v>
      </c>
      <c r="S26" s="27" t="s">
        <v>772</v>
      </c>
      <c r="T26" s="27" t="s">
        <v>765</v>
      </c>
      <c r="U26" s="27" t="s">
        <v>771</v>
      </c>
      <c r="V26" s="27" t="s">
        <v>685</v>
      </c>
      <c r="W26" s="27" t="s">
        <v>906</v>
      </c>
      <c r="X26" s="27" t="s">
        <v>761</v>
      </c>
    </row>
    <row r="27" spans="1:24" x14ac:dyDescent="0.25">
      <c r="A27" s="32" t="s">
        <v>688</v>
      </c>
      <c r="B27" s="32" t="s">
        <v>868</v>
      </c>
      <c r="C27" s="27" t="s">
        <v>771</v>
      </c>
      <c r="D27" s="27">
        <v>32104</v>
      </c>
      <c r="E27" s="27" t="s">
        <v>686</v>
      </c>
      <c r="F27" s="27" t="s">
        <v>941</v>
      </c>
      <c r="G27" s="27" t="s">
        <v>686</v>
      </c>
      <c r="H27" s="27">
        <v>26</v>
      </c>
      <c r="I27" s="27" t="s">
        <v>686</v>
      </c>
      <c r="J27" s="27">
        <v>0</v>
      </c>
      <c r="K27" s="27" t="s">
        <v>686</v>
      </c>
      <c r="L27" s="27">
        <v>4</v>
      </c>
      <c r="M27" s="27" t="s">
        <v>686</v>
      </c>
      <c r="N27" s="27" t="s">
        <v>784</v>
      </c>
      <c r="O27" s="27" t="s">
        <v>773</v>
      </c>
      <c r="P27" s="27" t="s">
        <v>776</v>
      </c>
      <c r="Q27" s="27" t="s">
        <v>686</v>
      </c>
      <c r="R27" s="27" t="s">
        <v>770</v>
      </c>
      <c r="S27" s="27" t="s">
        <v>772</v>
      </c>
      <c r="T27" s="27" t="s">
        <v>766</v>
      </c>
      <c r="U27" s="27" t="s">
        <v>771</v>
      </c>
      <c r="V27" s="27" t="s">
        <v>685</v>
      </c>
      <c r="W27" s="27"/>
      <c r="X27" s="27" t="s">
        <v>761</v>
      </c>
    </row>
    <row r="28" spans="1:24" x14ac:dyDescent="0.25">
      <c r="A28" s="32" t="s">
        <v>688</v>
      </c>
      <c r="B28" s="32" t="s">
        <v>869</v>
      </c>
      <c r="C28" s="27" t="s">
        <v>771</v>
      </c>
      <c r="D28" s="27">
        <v>32105</v>
      </c>
      <c r="E28" s="27" t="s">
        <v>686</v>
      </c>
      <c r="F28" s="27" t="s">
        <v>941</v>
      </c>
      <c r="G28" s="27" t="s">
        <v>686</v>
      </c>
      <c r="H28" s="27">
        <v>27</v>
      </c>
      <c r="I28" s="27" t="s">
        <v>686</v>
      </c>
      <c r="J28" s="27">
        <v>0</v>
      </c>
      <c r="K28" s="27" t="s">
        <v>686</v>
      </c>
      <c r="L28" s="27">
        <v>5</v>
      </c>
      <c r="M28" s="27" t="s">
        <v>686</v>
      </c>
      <c r="N28" s="27" t="s">
        <v>784</v>
      </c>
      <c r="O28" s="27" t="s">
        <v>773</v>
      </c>
      <c r="P28" s="27" t="s">
        <v>776</v>
      </c>
      <c r="Q28" s="27" t="s">
        <v>686</v>
      </c>
      <c r="R28" s="27" t="s">
        <v>246</v>
      </c>
      <c r="S28" s="27" t="s">
        <v>772</v>
      </c>
      <c r="T28" s="27" t="s">
        <v>21</v>
      </c>
      <c r="U28" s="27" t="s">
        <v>771</v>
      </c>
      <c r="V28" s="27" t="s">
        <v>685</v>
      </c>
      <c r="W28" s="27"/>
      <c r="X28" s="27" t="s">
        <v>761</v>
      </c>
    </row>
    <row r="29" spans="1:24" x14ac:dyDescent="0.25">
      <c r="A29" s="31" t="s">
        <v>688</v>
      </c>
      <c r="B29" s="31" t="s">
        <v>870</v>
      </c>
      <c r="C29" s="7" t="s">
        <v>771</v>
      </c>
      <c r="D29" s="7">
        <v>32200</v>
      </c>
      <c r="E29" s="7" t="s">
        <v>686</v>
      </c>
      <c r="F29" s="7" t="s">
        <v>942</v>
      </c>
      <c r="G29" s="7" t="s">
        <v>686</v>
      </c>
      <c r="H29" s="7">
        <v>28</v>
      </c>
      <c r="I29" s="7" t="s">
        <v>686</v>
      </c>
      <c r="J29" s="7">
        <v>5</v>
      </c>
      <c r="K29" s="7" t="s">
        <v>686</v>
      </c>
      <c r="L29" s="7">
        <v>0</v>
      </c>
      <c r="M29" s="7" t="s">
        <v>686</v>
      </c>
      <c r="N29" s="7" t="s">
        <v>784</v>
      </c>
      <c r="O29" s="7" t="s">
        <v>773</v>
      </c>
      <c r="P29" s="7" t="s">
        <v>776</v>
      </c>
      <c r="Q29" s="7" t="s">
        <v>686</v>
      </c>
      <c r="R29" s="7" t="s">
        <v>770</v>
      </c>
      <c r="S29" s="7" t="s">
        <v>772</v>
      </c>
      <c r="T29" s="7" t="s">
        <v>767</v>
      </c>
      <c r="U29" s="7" t="s">
        <v>771</v>
      </c>
      <c r="V29" s="7" t="s">
        <v>685</v>
      </c>
      <c r="W29" s="7"/>
      <c r="X29" s="7" t="s">
        <v>761</v>
      </c>
    </row>
    <row r="30" spans="1:24" x14ac:dyDescent="0.25">
      <c r="A30" s="31" t="s">
        <v>688</v>
      </c>
      <c r="B30" s="31" t="s">
        <v>871</v>
      </c>
      <c r="C30" s="7" t="s">
        <v>771</v>
      </c>
      <c r="D30" s="7">
        <v>32201</v>
      </c>
      <c r="E30" s="7" t="s">
        <v>686</v>
      </c>
      <c r="F30" s="7" t="s">
        <v>942</v>
      </c>
      <c r="G30" s="7" t="s">
        <v>686</v>
      </c>
      <c r="H30" s="7">
        <v>29</v>
      </c>
      <c r="I30" s="7" t="s">
        <v>686</v>
      </c>
      <c r="J30" s="7">
        <v>0</v>
      </c>
      <c r="K30" s="7" t="s">
        <v>686</v>
      </c>
      <c r="L30" s="7">
        <v>1</v>
      </c>
      <c r="M30" s="7" t="s">
        <v>686</v>
      </c>
      <c r="N30" s="7" t="s">
        <v>784</v>
      </c>
      <c r="O30" s="7" t="s">
        <v>773</v>
      </c>
      <c r="P30" s="7" t="s">
        <v>776</v>
      </c>
      <c r="Q30" s="7" t="s">
        <v>686</v>
      </c>
      <c r="R30" s="7" t="s">
        <v>246</v>
      </c>
      <c r="S30" s="7" t="s">
        <v>772</v>
      </c>
      <c r="T30" s="7" t="s">
        <v>768</v>
      </c>
      <c r="U30" s="7" t="s">
        <v>771</v>
      </c>
      <c r="V30" s="7" t="s">
        <v>685</v>
      </c>
      <c r="W30" s="7"/>
      <c r="X30" s="7" t="s">
        <v>761</v>
      </c>
    </row>
    <row r="31" spans="1:24" x14ac:dyDescent="0.25">
      <c r="A31" s="31" t="s">
        <v>688</v>
      </c>
      <c r="B31" s="31" t="s">
        <v>923</v>
      </c>
      <c r="C31" s="7" t="s">
        <v>771</v>
      </c>
      <c r="D31" s="7">
        <v>32202</v>
      </c>
      <c r="E31" s="7" t="s">
        <v>686</v>
      </c>
      <c r="F31" s="7" t="s">
        <v>942</v>
      </c>
      <c r="G31" s="7" t="s">
        <v>686</v>
      </c>
      <c r="H31" s="7">
        <v>30</v>
      </c>
      <c r="I31" s="7" t="s">
        <v>686</v>
      </c>
      <c r="J31" s="7">
        <v>0</v>
      </c>
      <c r="K31" s="7" t="s">
        <v>686</v>
      </c>
      <c r="L31" s="7">
        <v>2</v>
      </c>
      <c r="M31" s="7" t="s">
        <v>686</v>
      </c>
      <c r="N31" s="7" t="s">
        <v>784</v>
      </c>
      <c r="O31" s="7" t="s">
        <v>775</v>
      </c>
      <c r="P31" s="7" t="s">
        <v>776</v>
      </c>
      <c r="Q31" s="7" t="s">
        <v>686</v>
      </c>
      <c r="R31" s="7">
        <v>1</v>
      </c>
      <c r="S31" s="7" t="s">
        <v>772</v>
      </c>
      <c r="T31" s="7" t="s">
        <v>765</v>
      </c>
      <c r="U31" s="7" t="s">
        <v>771</v>
      </c>
      <c r="V31" s="7" t="s">
        <v>685</v>
      </c>
      <c r="W31" s="7" t="s">
        <v>907</v>
      </c>
      <c r="X31" s="7" t="s">
        <v>761</v>
      </c>
    </row>
    <row r="32" spans="1:24" x14ac:dyDescent="0.25">
      <c r="A32" s="31" t="s">
        <v>688</v>
      </c>
      <c r="B32" s="31" t="s">
        <v>924</v>
      </c>
      <c r="C32" s="7" t="s">
        <v>771</v>
      </c>
      <c r="D32" s="7">
        <v>32203</v>
      </c>
      <c r="E32" s="7" t="s">
        <v>686</v>
      </c>
      <c r="F32" s="7" t="s">
        <v>942</v>
      </c>
      <c r="G32" s="7" t="s">
        <v>686</v>
      </c>
      <c r="H32" s="7">
        <v>31</v>
      </c>
      <c r="I32" s="7" t="s">
        <v>686</v>
      </c>
      <c r="J32" s="7">
        <v>0</v>
      </c>
      <c r="K32" s="7" t="s">
        <v>686</v>
      </c>
      <c r="L32" s="7">
        <v>2</v>
      </c>
      <c r="M32" s="7" t="s">
        <v>686</v>
      </c>
      <c r="N32" s="7" t="s">
        <v>784</v>
      </c>
      <c r="O32" s="7" t="s">
        <v>775</v>
      </c>
      <c r="P32" s="7" t="s">
        <v>776</v>
      </c>
      <c r="Q32" s="7" t="s">
        <v>686</v>
      </c>
      <c r="R32" s="7">
        <v>1</v>
      </c>
      <c r="S32" s="7" t="s">
        <v>772</v>
      </c>
      <c r="T32" s="7" t="s">
        <v>765</v>
      </c>
      <c r="U32" s="7" t="s">
        <v>771</v>
      </c>
      <c r="V32" s="7" t="s">
        <v>685</v>
      </c>
      <c r="W32" s="7" t="s">
        <v>907</v>
      </c>
      <c r="X32" s="7" t="s">
        <v>761</v>
      </c>
    </row>
    <row r="33" spans="1:24" x14ac:dyDescent="0.25">
      <c r="A33" s="31" t="s">
        <v>688</v>
      </c>
      <c r="B33" s="31" t="s">
        <v>873</v>
      </c>
      <c r="C33" s="7" t="s">
        <v>771</v>
      </c>
      <c r="D33" s="7">
        <v>32204</v>
      </c>
      <c r="E33" s="7" t="s">
        <v>686</v>
      </c>
      <c r="F33" s="7" t="s">
        <v>942</v>
      </c>
      <c r="G33" s="7" t="s">
        <v>686</v>
      </c>
      <c r="H33" s="7">
        <v>32</v>
      </c>
      <c r="I33" s="7" t="s">
        <v>686</v>
      </c>
      <c r="J33" s="7">
        <v>0</v>
      </c>
      <c r="K33" s="7" t="s">
        <v>686</v>
      </c>
      <c r="L33" s="7">
        <v>4</v>
      </c>
      <c r="M33" s="7" t="s">
        <v>686</v>
      </c>
      <c r="N33" s="7" t="s">
        <v>784</v>
      </c>
      <c r="O33" s="7" t="s">
        <v>773</v>
      </c>
      <c r="P33" s="7" t="s">
        <v>776</v>
      </c>
      <c r="Q33" s="7" t="s">
        <v>686</v>
      </c>
      <c r="R33" s="7" t="s">
        <v>246</v>
      </c>
      <c r="S33" s="7" t="s">
        <v>772</v>
      </c>
      <c r="T33" s="7" t="s">
        <v>769</v>
      </c>
      <c r="U33" s="7" t="s">
        <v>771</v>
      </c>
      <c r="V33" s="7" t="s">
        <v>685</v>
      </c>
      <c r="W33" s="7"/>
      <c r="X33" s="7" t="s">
        <v>761</v>
      </c>
    </row>
    <row r="34" spans="1:24" x14ac:dyDescent="0.25">
      <c r="A34" s="32" t="s">
        <v>688</v>
      </c>
      <c r="B34" s="32" t="s">
        <v>874</v>
      </c>
      <c r="C34" s="27" t="s">
        <v>771</v>
      </c>
      <c r="D34" s="27">
        <v>32300</v>
      </c>
      <c r="E34" s="27" t="s">
        <v>686</v>
      </c>
      <c r="F34" s="27" t="s">
        <v>944</v>
      </c>
      <c r="G34" s="27" t="s">
        <v>686</v>
      </c>
      <c r="H34" s="27">
        <v>33</v>
      </c>
      <c r="I34" s="27" t="s">
        <v>686</v>
      </c>
      <c r="J34" s="27">
        <v>4</v>
      </c>
      <c r="K34" s="27" t="s">
        <v>686</v>
      </c>
      <c r="L34" s="27">
        <v>0</v>
      </c>
      <c r="M34" s="27" t="s">
        <v>686</v>
      </c>
      <c r="N34" s="27" t="s">
        <v>784</v>
      </c>
      <c r="O34" s="27" t="s">
        <v>773</v>
      </c>
      <c r="P34" s="27" t="s">
        <v>776</v>
      </c>
      <c r="Q34" s="27" t="s">
        <v>686</v>
      </c>
      <c r="R34" s="27" t="s">
        <v>770</v>
      </c>
      <c r="S34" s="27" t="s">
        <v>772</v>
      </c>
      <c r="T34" s="27" t="s">
        <v>767</v>
      </c>
      <c r="U34" s="27" t="s">
        <v>771</v>
      </c>
      <c r="V34" s="27" t="s">
        <v>685</v>
      </c>
      <c r="W34" s="27"/>
      <c r="X34" s="27" t="s">
        <v>761</v>
      </c>
    </row>
    <row r="35" spans="1:24" x14ac:dyDescent="0.25">
      <c r="A35" s="32" t="s">
        <v>688</v>
      </c>
      <c r="B35" s="32" t="s">
        <v>875</v>
      </c>
      <c r="C35" s="27" t="s">
        <v>771</v>
      </c>
      <c r="D35" s="27">
        <v>32301</v>
      </c>
      <c r="E35" s="27" t="s">
        <v>686</v>
      </c>
      <c r="F35" s="27" t="s">
        <v>944</v>
      </c>
      <c r="G35" s="27" t="s">
        <v>686</v>
      </c>
      <c r="H35" s="27">
        <v>34</v>
      </c>
      <c r="I35" s="27" t="s">
        <v>686</v>
      </c>
      <c r="J35" s="27">
        <v>0</v>
      </c>
      <c r="K35" s="27" t="s">
        <v>686</v>
      </c>
      <c r="L35" s="27">
        <v>1</v>
      </c>
      <c r="M35" s="27" t="s">
        <v>686</v>
      </c>
      <c r="N35" s="27" t="s">
        <v>784</v>
      </c>
      <c r="O35" s="27" t="s">
        <v>773</v>
      </c>
      <c r="P35" s="27" t="s">
        <v>776</v>
      </c>
      <c r="Q35" s="27" t="s">
        <v>686</v>
      </c>
      <c r="R35" s="27" t="s">
        <v>246</v>
      </c>
      <c r="S35" s="27" t="s">
        <v>772</v>
      </c>
      <c r="T35" s="27" t="s">
        <v>768</v>
      </c>
      <c r="U35" s="27" t="s">
        <v>771</v>
      </c>
      <c r="V35" s="27" t="s">
        <v>685</v>
      </c>
      <c r="W35" s="27"/>
      <c r="X35" s="27" t="s">
        <v>761</v>
      </c>
    </row>
    <row r="36" spans="1:24" x14ac:dyDescent="0.25">
      <c r="A36" s="32" t="s">
        <v>688</v>
      </c>
      <c r="B36" s="32" t="s">
        <v>925</v>
      </c>
      <c r="C36" s="27" t="s">
        <v>771</v>
      </c>
      <c r="D36" s="27">
        <v>32302</v>
      </c>
      <c r="E36" s="27" t="s">
        <v>686</v>
      </c>
      <c r="F36" s="27" t="s">
        <v>944</v>
      </c>
      <c r="G36" s="27" t="s">
        <v>686</v>
      </c>
      <c r="H36" s="27">
        <v>35</v>
      </c>
      <c r="I36" s="27" t="s">
        <v>686</v>
      </c>
      <c r="J36" s="27">
        <v>0</v>
      </c>
      <c r="K36" s="27" t="s">
        <v>686</v>
      </c>
      <c r="L36" s="27">
        <v>2</v>
      </c>
      <c r="M36" s="27" t="s">
        <v>686</v>
      </c>
      <c r="N36" s="27" t="s">
        <v>784</v>
      </c>
      <c r="O36" s="27" t="s">
        <v>775</v>
      </c>
      <c r="P36" s="27" t="s">
        <v>776</v>
      </c>
      <c r="Q36" s="27" t="s">
        <v>686</v>
      </c>
      <c r="R36" s="27">
        <v>1</v>
      </c>
      <c r="S36" s="27" t="s">
        <v>772</v>
      </c>
      <c r="T36" s="27" t="s">
        <v>765</v>
      </c>
      <c r="U36" s="27" t="s">
        <v>771</v>
      </c>
      <c r="V36" s="27" t="s">
        <v>685</v>
      </c>
      <c r="W36" s="27" t="s">
        <v>907</v>
      </c>
      <c r="X36" s="27" t="s">
        <v>761</v>
      </c>
    </row>
    <row r="37" spans="1:24" x14ac:dyDescent="0.25">
      <c r="A37" s="32" t="s">
        <v>688</v>
      </c>
      <c r="B37" s="32" t="s">
        <v>926</v>
      </c>
      <c r="C37" s="27" t="s">
        <v>771</v>
      </c>
      <c r="D37" s="27">
        <v>32303</v>
      </c>
      <c r="E37" s="27" t="s">
        <v>686</v>
      </c>
      <c r="F37" s="27" t="s">
        <v>944</v>
      </c>
      <c r="G37" s="27" t="s">
        <v>686</v>
      </c>
      <c r="H37" s="27">
        <v>36</v>
      </c>
      <c r="I37" s="27" t="s">
        <v>686</v>
      </c>
      <c r="J37" s="27">
        <v>0</v>
      </c>
      <c r="K37" s="27" t="s">
        <v>686</v>
      </c>
      <c r="L37" s="27">
        <v>2</v>
      </c>
      <c r="M37" s="27" t="s">
        <v>686</v>
      </c>
      <c r="N37" s="27" t="s">
        <v>784</v>
      </c>
      <c r="O37" s="27" t="s">
        <v>775</v>
      </c>
      <c r="P37" s="27" t="s">
        <v>776</v>
      </c>
      <c r="Q37" s="27" t="s">
        <v>686</v>
      </c>
      <c r="R37" s="27">
        <v>1</v>
      </c>
      <c r="S37" s="27" t="s">
        <v>772</v>
      </c>
      <c r="T37" s="27" t="s">
        <v>765</v>
      </c>
      <c r="U37" s="27" t="s">
        <v>771</v>
      </c>
      <c r="V37" s="27" t="s">
        <v>685</v>
      </c>
      <c r="W37" s="27" t="s">
        <v>907</v>
      </c>
      <c r="X37" s="27" t="s">
        <v>761</v>
      </c>
    </row>
    <row r="38" spans="1:24" x14ac:dyDescent="0.25">
      <c r="A38" s="31" t="s">
        <v>688</v>
      </c>
      <c r="B38" s="31" t="s">
        <v>927</v>
      </c>
      <c r="C38" s="7" t="s">
        <v>771</v>
      </c>
      <c r="D38" s="7">
        <v>33000</v>
      </c>
      <c r="E38" s="7" t="s">
        <v>686</v>
      </c>
      <c r="F38" s="7" t="s">
        <v>945</v>
      </c>
      <c r="G38" s="7" t="s">
        <v>686</v>
      </c>
      <c r="H38" s="7">
        <v>37</v>
      </c>
      <c r="I38" s="7" t="s">
        <v>686</v>
      </c>
      <c r="J38" s="7">
        <v>12</v>
      </c>
      <c r="K38" s="7" t="s">
        <v>686</v>
      </c>
      <c r="L38" s="7">
        <v>0</v>
      </c>
      <c r="M38" s="7" t="s">
        <v>686</v>
      </c>
      <c r="N38" s="7" t="s">
        <v>784</v>
      </c>
      <c r="O38" s="7" t="s">
        <v>773</v>
      </c>
      <c r="P38" s="7" t="s">
        <v>776</v>
      </c>
      <c r="Q38" s="7" t="s">
        <v>686</v>
      </c>
      <c r="R38" s="7" t="s">
        <v>246</v>
      </c>
      <c r="S38" s="7" t="s">
        <v>772</v>
      </c>
      <c r="T38" s="7" t="s">
        <v>21</v>
      </c>
      <c r="U38" s="7" t="s">
        <v>771</v>
      </c>
      <c r="V38" s="7" t="s">
        <v>685</v>
      </c>
      <c r="W38" s="7"/>
      <c r="X38" s="7" t="s">
        <v>761</v>
      </c>
    </row>
    <row r="39" spans="1:24" x14ac:dyDescent="0.25">
      <c r="A39" s="31" t="s">
        <v>688</v>
      </c>
      <c r="B39" s="31" t="s">
        <v>928</v>
      </c>
      <c r="C39" s="7" t="s">
        <v>771</v>
      </c>
      <c r="D39" s="7">
        <v>33001</v>
      </c>
      <c r="E39" s="7" t="s">
        <v>686</v>
      </c>
      <c r="F39" s="7" t="s">
        <v>945</v>
      </c>
      <c r="G39" s="7" t="s">
        <v>686</v>
      </c>
      <c r="H39" s="7">
        <v>38</v>
      </c>
      <c r="I39" s="7" t="s">
        <v>686</v>
      </c>
      <c r="J39" s="7">
        <v>0</v>
      </c>
      <c r="K39" s="7" t="s">
        <v>686</v>
      </c>
      <c r="L39" s="7">
        <v>1</v>
      </c>
      <c r="M39" s="7" t="s">
        <v>686</v>
      </c>
      <c r="N39" s="7" t="s">
        <v>784</v>
      </c>
      <c r="O39" s="7" t="s">
        <v>773</v>
      </c>
      <c r="P39" s="7" t="s">
        <v>776</v>
      </c>
      <c r="Q39" s="7" t="s">
        <v>686</v>
      </c>
      <c r="R39" s="7" t="s">
        <v>246</v>
      </c>
      <c r="S39" s="7" t="s">
        <v>772</v>
      </c>
      <c r="T39" s="7" t="s">
        <v>21</v>
      </c>
      <c r="U39" s="7" t="s">
        <v>771</v>
      </c>
      <c r="V39" s="7" t="s">
        <v>685</v>
      </c>
      <c r="W39" s="7"/>
      <c r="X39" s="7" t="s">
        <v>761</v>
      </c>
    </row>
    <row r="40" spans="1:24" x14ac:dyDescent="0.25">
      <c r="A40" s="31" t="s">
        <v>688</v>
      </c>
      <c r="B40" s="31" t="s">
        <v>929</v>
      </c>
      <c r="C40" s="7" t="s">
        <v>771</v>
      </c>
      <c r="D40" s="7">
        <v>33002</v>
      </c>
      <c r="E40" s="7" t="s">
        <v>686</v>
      </c>
      <c r="F40" s="7" t="s">
        <v>945</v>
      </c>
      <c r="G40" s="7" t="s">
        <v>686</v>
      </c>
      <c r="H40" s="7">
        <v>39</v>
      </c>
      <c r="I40" s="7" t="s">
        <v>686</v>
      </c>
      <c r="J40" s="7">
        <v>0</v>
      </c>
      <c r="K40" s="7" t="s">
        <v>686</v>
      </c>
      <c r="L40" s="7">
        <v>2</v>
      </c>
      <c r="M40" s="7" t="s">
        <v>686</v>
      </c>
      <c r="N40" s="7" t="s">
        <v>784</v>
      </c>
      <c r="O40" s="7" t="s">
        <v>773</v>
      </c>
      <c r="P40" s="7" t="s">
        <v>776</v>
      </c>
      <c r="Q40" s="7" t="s">
        <v>686</v>
      </c>
      <c r="R40" s="7" t="s">
        <v>246</v>
      </c>
      <c r="S40" s="7" t="s">
        <v>772</v>
      </c>
      <c r="T40" s="7" t="s">
        <v>21</v>
      </c>
      <c r="U40" s="7" t="s">
        <v>771</v>
      </c>
      <c r="V40" s="7" t="s">
        <v>685</v>
      </c>
      <c r="W40" s="7"/>
      <c r="X40" s="7" t="s">
        <v>761</v>
      </c>
    </row>
    <row r="41" spans="1:24" x14ac:dyDescent="0.25">
      <c r="A41" s="31" t="s">
        <v>688</v>
      </c>
      <c r="B41" s="31" t="s">
        <v>934</v>
      </c>
      <c r="C41" s="7" t="s">
        <v>771</v>
      </c>
      <c r="D41" s="7">
        <v>33003</v>
      </c>
      <c r="E41" s="7" t="s">
        <v>686</v>
      </c>
      <c r="F41" s="7" t="s">
        <v>945</v>
      </c>
      <c r="G41" s="7" t="s">
        <v>686</v>
      </c>
      <c r="H41" s="7">
        <v>40</v>
      </c>
      <c r="I41" s="7" t="s">
        <v>686</v>
      </c>
      <c r="J41" s="7">
        <v>0</v>
      </c>
      <c r="K41" s="7" t="s">
        <v>686</v>
      </c>
      <c r="L41" s="7">
        <v>3</v>
      </c>
      <c r="M41" s="7" t="s">
        <v>686</v>
      </c>
      <c r="N41" s="7" t="s">
        <v>784</v>
      </c>
      <c r="O41" s="7" t="s">
        <v>773</v>
      </c>
      <c r="P41" s="7" t="s">
        <v>776</v>
      </c>
      <c r="Q41" s="7" t="s">
        <v>686</v>
      </c>
      <c r="R41" s="7" t="s">
        <v>246</v>
      </c>
      <c r="S41" s="7" t="s">
        <v>772</v>
      </c>
      <c r="T41" s="7" t="s">
        <v>21</v>
      </c>
      <c r="U41" s="7" t="s">
        <v>771</v>
      </c>
      <c r="V41" s="7" t="s">
        <v>685</v>
      </c>
      <c r="W41" s="7"/>
      <c r="X41" s="7" t="s">
        <v>761</v>
      </c>
    </row>
    <row r="42" spans="1:24" x14ac:dyDescent="0.25">
      <c r="A42" s="31" t="s">
        <v>688</v>
      </c>
      <c r="B42" s="31" t="s">
        <v>930</v>
      </c>
      <c r="C42" s="7" t="s">
        <v>771</v>
      </c>
      <c r="D42" s="7">
        <v>33004</v>
      </c>
      <c r="E42" s="7" t="s">
        <v>686</v>
      </c>
      <c r="F42" s="7" t="s">
        <v>945</v>
      </c>
      <c r="G42" s="7" t="s">
        <v>686</v>
      </c>
      <c r="H42" s="7">
        <v>41</v>
      </c>
      <c r="I42" s="7" t="s">
        <v>686</v>
      </c>
      <c r="J42" s="7">
        <v>0</v>
      </c>
      <c r="K42" s="7" t="s">
        <v>686</v>
      </c>
      <c r="L42" s="7">
        <v>4</v>
      </c>
      <c r="M42" s="7" t="s">
        <v>686</v>
      </c>
      <c r="N42" s="7" t="s">
        <v>784</v>
      </c>
      <c r="O42" s="7" t="s">
        <v>773</v>
      </c>
      <c r="P42" s="7" t="s">
        <v>776</v>
      </c>
      <c r="Q42" s="7" t="s">
        <v>686</v>
      </c>
      <c r="R42" s="7" t="s">
        <v>246</v>
      </c>
      <c r="S42" s="7" t="s">
        <v>772</v>
      </c>
      <c r="T42" s="7" t="s">
        <v>21</v>
      </c>
      <c r="U42" s="7" t="s">
        <v>771</v>
      </c>
      <c r="V42" s="7" t="s">
        <v>685</v>
      </c>
      <c r="W42" s="7"/>
      <c r="X42" s="7" t="s">
        <v>761</v>
      </c>
    </row>
    <row r="43" spans="1:24" x14ac:dyDescent="0.25">
      <c r="A43" s="31" t="s">
        <v>688</v>
      </c>
      <c r="B43" s="31" t="s">
        <v>935</v>
      </c>
      <c r="C43" s="7" t="s">
        <v>771</v>
      </c>
      <c r="D43" s="7">
        <v>33005</v>
      </c>
      <c r="E43" s="7" t="s">
        <v>686</v>
      </c>
      <c r="F43" s="7" t="s">
        <v>945</v>
      </c>
      <c r="G43" s="7" t="s">
        <v>686</v>
      </c>
      <c r="H43" s="7">
        <v>42</v>
      </c>
      <c r="I43" s="7" t="s">
        <v>686</v>
      </c>
      <c r="J43" s="7">
        <v>0</v>
      </c>
      <c r="K43" s="7" t="s">
        <v>686</v>
      </c>
      <c r="L43" s="7">
        <v>5</v>
      </c>
      <c r="M43" s="7" t="s">
        <v>686</v>
      </c>
      <c r="N43" s="7" t="s">
        <v>784</v>
      </c>
      <c r="O43" s="7" t="s">
        <v>773</v>
      </c>
      <c r="P43" s="7" t="s">
        <v>776</v>
      </c>
      <c r="Q43" s="7" t="s">
        <v>686</v>
      </c>
      <c r="R43" s="7" t="s">
        <v>246</v>
      </c>
      <c r="S43" s="7" t="s">
        <v>772</v>
      </c>
      <c r="T43" s="7" t="s">
        <v>21</v>
      </c>
      <c r="U43" s="7" t="s">
        <v>771</v>
      </c>
      <c r="V43" s="7" t="s">
        <v>685</v>
      </c>
      <c r="W43" s="7"/>
      <c r="X43" s="7" t="s">
        <v>761</v>
      </c>
    </row>
    <row r="44" spans="1:24" x14ac:dyDescent="0.25">
      <c r="A44" s="31" t="s">
        <v>688</v>
      </c>
      <c r="B44" s="31" t="s">
        <v>931</v>
      </c>
      <c r="C44" s="7" t="s">
        <v>771</v>
      </c>
      <c r="D44" s="7">
        <v>33006</v>
      </c>
      <c r="E44" s="7" t="s">
        <v>686</v>
      </c>
      <c r="F44" s="7" t="s">
        <v>945</v>
      </c>
      <c r="G44" s="7" t="s">
        <v>686</v>
      </c>
      <c r="H44" s="7">
        <v>43</v>
      </c>
      <c r="I44" s="7" t="s">
        <v>686</v>
      </c>
      <c r="J44" s="7">
        <v>0</v>
      </c>
      <c r="K44" s="7" t="s">
        <v>686</v>
      </c>
      <c r="L44" s="7">
        <v>6</v>
      </c>
      <c r="M44" s="7" t="s">
        <v>686</v>
      </c>
      <c r="N44" s="7" t="s">
        <v>784</v>
      </c>
      <c r="O44" s="7" t="s">
        <v>773</v>
      </c>
      <c r="P44" s="7" t="s">
        <v>776</v>
      </c>
      <c r="Q44" s="7" t="s">
        <v>686</v>
      </c>
      <c r="R44" s="7" t="s">
        <v>246</v>
      </c>
      <c r="S44" s="7" t="s">
        <v>772</v>
      </c>
      <c r="T44" s="7" t="s">
        <v>21</v>
      </c>
      <c r="U44" s="7" t="s">
        <v>771</v>
      </c>
      <c r="V44" s="7" t="s">
        <v>685</v>
      </c>
      <c r="W44" s="7"/>
      <c r="X44" s="7" t="s">
        <v>761</v>
      </c>
    </row>
    <row r="45" spans="1:24" x14ac:dyDescent="0.25">
      <c r="A45" s="31" t="s">
        <v>688</v>
      </c>
      <c r="B45" s="31" t="s">
        <v>936</v>
      </c>
      <c r="C45" s="7" t="s">
        <v>771</v>
      </c>
      <c r="D45" s="7">
        <v>33007</v>
      </c>
      <c r="E45" s="7" t="s">
        <v>686</v>
      </c>
      <c r="F45" s="7" t="s">
        <v>945</v>
      </c>
      <c r="G45" s="7" t="s">
        <v>686</v>
      </c>
      <c r="H45" s="7">
        <v>44</v>
      </c>
      <c r="I45" s="7" t="s">
        <v>686</v>
      </c>
      <c r="J45" s="7">
        <v>0</v>
      </c>
      <c r="K45" s="7" t="s">
        <v>686</v>
      </c>
      <c r="L45" s="7">
        <v>7</v>
      </c>
      <c r="M45" s="7" t="s">
        <v>686</v>
      </c>
      <c r="N45" s="7" t="s">
        <v>784</v>
      </c>
      <c r="O45" s="7" t="s">
        <v>773</v>
      </c>
      <c r="P45" s="7" t="s">
        <v>776</v>
      </c>
      <c r="Q45" s="7" t="s">
        <v>686</v>
      </c>
      <c r="R45" s="7" t="s">
        <v>246</v>
      </c>
      <c r="S45" s="7" t="s">
        <v>772</v>
      </c>
      <c r="T45" s="7" t="s">
        <v>21</v>
      </c>
      <c r="U45" s="7" t="s">
        <v>771</v>
      </c>
      <c r="V45" s="7" t="s">
        <v>685</v>
      </c>
      <c r="W45" s="7"/>
      <c r="X45" s="7" t="s">
        <v>761</v>
      </c>
    </row>
    <row r="46" spans="1:24" x14ac:dyDescent="0.25">
      <c r="A46" s="31" t="s">
        <v>688</v>
      </c>
      <c r="B46" s="31" t="s">
        <v>932</v>
      </c>
      <c r="C46" s="7" t="s">
        <v>771</v>
      </c>
      <c r="D46" s="7">
        <v>33008</v>
      </c>
      <c r="E46" s="7" t="s">
        <v>686</v>
      </c>
      <c r="F46" s="7" t="s">
        <v>945</v>
      </c>
      <c r="G46" s="7" t="s">
        <v>686</v>
      </c>
      <c r="H46" s="7">
        <v>45</v>
      </c>
      <c r="I46" s="7" t="s">
        <v>686</v>
      </c>
      <c r="J46" s="7">
        <v>0</v>
      </c>
      <c r="K46" s="7" t="s">
        <v>686</v>
      </c>
      <c r="L46" s="7">
        <v>8</v>
      </c>
      <c r="M46" s="7" t="s">
        <v>686</v>
      </c>
      <c r="N46" s="7" t="s">
        <v>784</v>
      </c>
      <c r="O46" s="7" t="s">
        <v>773</v>
      </c>
      <c r="P46" s="7" t="s">
        <v>776</v>
      </c>
      <c r="Q46" s="7" t="s">
        <v>686</v>
      </c>
      <c r="R46" s="7" t="s">
        <v>246</v>
      </c>
      <c r="S46" s="7" t="s">
        <v>772</v>
      </c>
      <c r="T46" s="7" t="s">
        <v>21</v>
      </c>
      <c r="U46" s="7" t="s">
        <v>771</v>
      </c>
      <c r="V46" s="7" t="s">
        <v>685</v>
      </c>
      <c r="W46" s="7"/>
      <c r="X46" s="7" t="s">
        <v>761</v>
      </c>
    </row>
    <row r="47" spans="1:24" x14ac:dyDescent="0.25">
      <c r="A47" s="31" t="s">
        <v>688</v>
      </c>
      <c r="B47" s="31" t="s">
        <v>937</v>
      </c>
      <c r="C47" s="7" t="s">
        <v>771</v>
      </c>
      <c r="D47" s="7">
        <v>33009</v>
      </c>
      <c r="E47" s="7" t="s">
        <v>686</v>
      </c>
      <c r="F47" s="7" t="s">
        <v>945</v>
      </c>
      <c r="G47" s="7" t="s">
        <v>686</v>
      </c>
      <c r="H47" s="7">
        <v>46</v>
      </c>
      <c r="I47" s="7" t="s">
        <v>686</v>
      </c>
      <c r="J47" s="7">
        <v>0</v>
      </c>
      <c r="K47" s="7" t="s">
        <v>686</v>
      </c>
      <c r="L47" s="7">
        <v>9</v>
      </c>
      <c r="M47" s="7" t="s">
        <v>686</v>
      </c>
      <c r="N47" s="7" t="s">
        <v>784</v>
      </c>
      <c r="O47" s="7" t="s">
        <v>773</v>
      </c>
      <c r="P47" s="7" t="s">
        <v>776</v>
      </c>
      <c r="Q47" s="7" t="s">
        <v>686</v>
      </c>
      <c r="R47" s="7" t="s">
        <v>246</v>
      </c>
      <c r="S47" s="7" t="s">
        <v>772</v>
      </c>
      <c r="T47" s="7" t="s">
        <v>21</v>
      </c>
      <c r="U47" s="7" t="s">
        <v>771</v>
      </c>
      <c r="V47" s="7" t="s">
        <v>685</v>
      </c>
      <c r="W47" s="7"/>
      <c r="X47" s="7" t="s">
        <v>761</v>
      </c>
    </row>
    <row r="48" spans="1:24" x14ac:dyDescent="0.25">
      <c r="A48" s="31" t="s">
        <v>688</v>
      </c>
      <c r="B48" s="31" t="s">
        <v>933</v>
      </c>
      <c r="C48" s="7" t="s">
        <v>771</v>
      </c>
      <c r="D48" s="7">
        <v>33010</v>
      </c>
      <c r="E48" s="7" t="s">
        <v>686</v>
      </c>
      <c r="F48" s="7" t="s">
        <v>945</v>
      </c>
      <c r="G48" s="7" t="s">
        <v>686</v>
      </c>
      <c r="H48" s="7">
        <v>47</v>
      </c>
      <c r="I48" s="7" t="s">
        <v>686</v>
      </c>
      <c r="J48" s="7">
        <v>0</v>
      </c>
      <c r="K48" s="7" t="s">
        <v>686</v>
      </c>
      <c r="L48" s="7">
        <v>10</v>
      </c>
      <c r="M48" s="7" t="s">
        <v>686</v>
      </c>
      <c r="N48" s="7" t="s">
        <v>784</v>
      </c>
      <c r="O48" s="7" t="s">
        <v>773</v>
      </c>
      <c r="P48" s="7" t="s">
        <v>776</v>
      </c>
      <c r="Q48" s="7" t="s">
        <v>686</v>
      </c>
      <c r="R48" s="7" t="s">
        <v>246</v>
      </c>
      <c r="S48" s="7" t="s">
        <v>772</v>
      </c>
      <c r="T48" s="7" t="s">
        <v>21</v>
      </c>
      <c r="U48" s="7" t="s">
        <v>771</v>
      </c>
      <c r="V48" s="7" t="s">
        <v>685</v>
      </c>
      <c r="W48" s="7"/>
      <c r="X48" s="7" t="s">
        <v>761</v>
      </c>
    </row>
    <row r="49" spans="1:24" x14ac:dyDescent="0.25">
      <c r="A49" s="31" t="s">
        <v>688</v>
      </c>
      <c r="B49" s="31" t="s">
        <v>938</v>
      </c>
      <c r="C49" s="7" t="s">
        <v>771</v>
      </c>
      <c r="D49" s="7">
        <v>33011</v>
      </c>
      <c r="E49" s="7" t="s">
        <v>686</v>
      </c>
      <c r="F49" s="7" t="s">
        <v>945</v>
      </c>
      <c r="G49" s="7" t="s">
        <v>686</v>
      </c>
      <c r="H49" s="7">
        <v>48</v>
      </c>
      <c r="I49" s="7" t="s">
        <v>686</v>
      </c>
      <c r="J49" s="7">
        <v>0</v>
      </c>
      <c r="K49" s="7" t="s">
        <v>686</v>
      </c>
      <c r="L49" s="7">
        <v>11</v>
      </c>
      <c r="M49" s="7" t="s">
        <v>686</v>
      </c>
      <c r="N49" s="7" t="s">
        <v>784</v>
      </c>
      <c r="O49" s="7" t="s">
        <v>773</v>
      </c>
      <c r="P49" s="7" t="s">
        <v>776</v>
      </c>
      <c r="Q49" s="7" t="s">
        <v>686</v>
      </c>
      <c r="R49" s="7" t="s">
        <v>246</v>
      </c>
      <c r="S49" s="7" t="s">
        <v>772</v>
      </c>
      <c r="T49" s="7" t="s">
        <v>21</v>
      </c>
      <c r="U49" s="7" t="s">
        <v>771</v>
      </c>
      <c r="V49" s="7" t="s">
        <v>685</v>
      </c>
      <c r="W49" s="7"/>
      <c r="X49" s="7" t="s">
        <v>761</v>
      </c>
    </row>
    <row r="50" spans="1:24" x14ac:dyDescent="0.25">
      <c r="A50" s="32" t="s">
        <v>688</v>
      </c>
      <c r="B50" s="32" t="s">
        <v>883</v>
      </c>
      <c r="C50" s="27" t="s">
        <v>771</v>
      </c>
      <c r="D50" s="27">
        <v>35000</v>
      </c>
      <c r="E50" s="27" t="s">
        <v>686</v>
      </c>
      <c r="F50" s="27" t="s">
        <v>946</v>
      </c>
      <c r="G50" s="27" t="s">
        <v>686</v>
      </c>
      <c r="H50" s="27">
        <v>49</v>
      </c>
      <c r="I50" s="27" t="s">
        <v>686</v>
      </c>
      <c r="J50" s="27">
        <v>3</v>
      </c>
      <c r="K50" s="27" t="s">
        <v>686</v>
      </c>
      <c r="L50" s="27">
        <v>0</v>
      </c>
      <c r="M50" s="27" t="s">
        <v>686</v>
      </c>
      <c r="N50" s="27" t="s">
        <v>784</v>
      </c>
      <c r="O50" s="27" t="s">
        <v>773</v>
      </c>
      <c r="P50" s="27" t="s">
        <v>776</v>
      </c>
      <c r="Q50" s="27" t="s">
        <v>686</v>
      </c>
      <c r="R50" s="27" t="s">
        <v>770</v>
      </c>
      <c r="S50" s="27" t="s">
        <v>772</v>
      </c>
      <c r="T50" s="27" t="s">
        <v>762</v>
      </c>
      <c r="U50" s="27" t="s">
        <v>771</v>
      </c>
      <c r="V50" s="27" t="s">
        <v>685</v>
      </c>
      <c r="W50" s="27"/>
      <c r="X50" s="27" t="s">
        <v>761</v>
      </c>
    </row>
    <row r="51" spans="1:24" x14ac:dyDescent="0.25">
      <c r="A51" s="32" t="s">
        <v>688</v>
      </c>
      <c r="B51" s="32" t="s">
        <v>884</v>
      </c>
      <c r="C51" s="27" t="s">
        <v>771</v>
      </c>
      <c r="D51" s="27">
        <v>35001</v>
      </c>
      <c r="E51" s="27" t="s">
        <v>686</v>
      </c>
      <c r="F51" s="27" t="s">
        <v>946</v>
      </c>
      <c r="G51" s="27" t="s">
        <v>686</v>
      </c>
      <c r="H51" s="27">
        <v>50</v>
      </c>
      <c r="I51" s="27" t="s">
        <v>686</v>
      </c>
      <c r="J51" s="27">
        <v>0</v>
      </c>
      <c r="K51" s="27" t="s">
        <v>686</v>
      </c>
      <c r="L51" s="27">
        <v>1</v>
      </c>
      <c r="M51" s="27" t="s">
        <v>686</v>
      </c>
      <c r="N51" s="27" t="s">
        <v>784</v>
      </c>
      <c r="O51" s="27" t="s">
        <v>773</v>
      </c>
      <c r="P51" s="27" t="s">
        <v>776</v>
      </c>
      <c r="Q51" s="27" t="s">
        <v>686</v>
      </c>
      <c r="R51" s="27" t="s">
        <v>770</v>
      </c>
      <c r="S51" s="27" t="s">
        <v>772</v>
      </c>
      <c r="T51" s="27" t="s">
        <v>762</v>
      </c>
      <c r="U51" s="27" t="s">
        <v>771</v>
      </c>
      <c r="V51" s="27" t="s">
        <v>685</v>
      </c>
      <c r="W51" s="27"/>
      <c r="X51" s="27" t="s">
        <v>761</v>
      </c>
    </row>
    <row r="52" spans="1:24" x14ac:dyDescent="0.25">
      <c r="A52" s="32" t="s">
        <v>688</v>
      </c>
      <c r="B52" s="32" t="s">
        <v>885</v>
      </c>
      <c r="C52" s="27" t="s">
        <v>771</v>
      </c>
      <c r="D52" s="27">
        <v>35002</v>
      </c>
      <c r="E52" s="27" t="s">
        <v>686</v>
      </c>
      <c r="F52" s="27" t="s">
        <v>946</v>
      </c>
      <c r="G52" s="27" t="s">
        <v>686</v>
      </c>
      <c r="H52" s="27">
        <v>51</v>
      </c>
      <c r="I52" s="27" t="s">
        <v>686</v>
      </c>
      <c r="J52" s="27">
        <v>0</v>
      </c>
      <c r="K52" s="27" t="s">
        <v>686</v>
      </c>
      <c r="L52" s="27">
        <v>2</v>
      </c>
      <c r="M52" s="27" t="s">
        <v>686</v>
      </c>
      <c r="N52" s="27" t="s">
        <v>784</v>
      </c>
      <c r="O52" s="27" t="s">
        <v>773</v>
      </c>
      <c r="P52" s="27" t="s">
        <v>776</v>
      </c>
      <c r="Q52" s="27" t="s">
        <v>686</v>
      </c>
      <c r="R52" s="27" t="s">
        <v>770</v>
      </c>
      <c r="S52" s="27" t="s">
        <v>772</v>
      </c>
      <c r="T52" s="27" t="s">
        <v>762</v>
      </c>
      <c r="U52" s="27" t="s">
        <v>771</v>
      </c>
      <c r="V52" s="27" t="s">
        <v>685</v>
      </c>
      <c r="W52" s="27"/>
      <c r="X52" s="27" t="s">
        <v>761</v>
      </c>
    </row>
    <row r="53" spans="1:24" x14ac:dyDescent="0.25">
      <c r="A53" s="31" t="s">
        <v>688</v>
      </c>
      <c r="B53" s="31" t="s">
        <v>886</v>
      </c>
      <c r="C53" s="7" t="s">
        <v>771</v>
      </c>
      <c r="D53" s="7">
        <v>35010</v>
      </c>
      <c r="E53" s="7" t="s">
        <v>686</v>
      </c>
      <c r="F53" s="7" t="s">
        <v>947</v>
      </c>
      <c r="G53" s="7" t="s">
        <v>686</v>
      </c>
      <c r="H53" s="7">
        <v>52</v>
      </c>
      <c r="I53" s="7" t="s">
        <v>686</v>
      </c>
      <c r="J53" s="7">
        <v>2</v>
      </c>
      <c r="K53" s="7" t="s">
        <v>686</v>
      </c>
      <c r="L53" s="7">
        <v>0</v>
      </c>
      <c r="M53" s="7" t="s">
        <v>686</v>
      </c>
      <c r="N53" s="7" t="s">
        <v>784</v>
      </c>
      <c r="O53" s="7" t="s">
        <v>773</v>
      </c>
      <c r="P53" s="7" t="s">
        <v>776</v>
      </c>
      <c r="Q53" s="7" t="s">
        <v>686</v>
      </c>
      <c r="R53" s="7" t="s">
        <v>770</v>
      </c>
      <c r="S53" s="7" t="s">
        <v>772</v>
      </c>
      <c r="T53" s="7" t="s">
        <v>762</v>
      </c>
      <c r="U53" s="7" t="s">
        <v>771</v>
      </c>
      <c r="V53" s="7" t="s">
        <v>685</v>
      </c>
      <c r="W53" s="7"/>
      <c r="X53" s="7" t="s">
        <v>761</v>
      </c>
    </row>
    <row r="54" spans="1:24" x14ac:dyDescent="0.25">
      <c r="A54" s="31" t="s">
        <v>688</v>
      </c>
      <c r="B54" s="31" t="s">
        <v>887</v>
      </c>
      <c r="C54" s="7" t="s">
        <v>771</v>
      </c>
      <c r="D54" s="7">
        <v>35011</v>
      </c>
      <c r="E54" s="7" t="s">
        <v>686</v>
      </c>
      <c r="F54" s="7" t="s">
        <v>947</v>
      </c>
      <c r="G54" s="7" t="s">
        <v>686</v>
      </c>
      <c r="H54" s="7">
        <v>53</v>
      </c>
      <c r="I54" s="7" t="s">
        <v>686</v>
      </c>
      <c r="J54" s="7">
        <v>0</v>
      </c>
      <c r="K54" s="7" t="s">
        <v>686</v>
      </c>
      <c r="L54" s="7">
        <v>1</v>
      </c>
      <c r="M54" s="7" t="s">
        <v>686</v>
      </c>
      <c r="N54" s="7" t="s">
        <v>784</v>
      </c>
      <c r="O54" s="7" t="s">
        <v>773</v>
      </c>
      <c r="P54" s="7" t="s">
        <v>776</v>
      </c>
      <c r="Q54" s="7" t="s">
        <v>686</v>
      </c>
      <c r="R54" s="7" t="s">
        <v>770</v>
      </c>
      <c r="S54" s="7" t="s">
        <v>772</v>
      </c>
      <c r="T54" s="7" t="s">
        <v>762</v>
      </c>
      <c r="U54" s="7" t="s">
        <v>771</v>
      </c>
      <c r="V54" s="7" t="s">
        <v>685</v>
      </c>
      <c r="W54" s="7"/>
      <c r="X54" s="7" t="s">
        <v>761</v>
      </c>
    </row>
    <row r="55" spans="1:24" x14ac:dyDescent="0.25">
      <c r="A55" s="32" t="s">
        <v>688</v>
      </c>
      <c r="B55" s="32" t="s">
        <v>888</v>
      </c>
      <c r="C55" s="27" t="s">
        <v>771</v>
      </c>
      <c r="D55" s="27">
        <v>35100</v>
      </c>
      <c r="E55" s="27" t="s">
        <v>686</v>
      </c>
      <c r="F55" s="27" t="s">
        <v>948</v>
      </c>
      <c r="G55" s="27" t="s">
        <v>686</v>
      </c>
      <c r="H55" s="27">
        <v>54</v>
      </c>
      <c r="I55" s="27" t="s">
        <v>686</v>
      </c>
      <c r="J55" s="27">
        <v>1</v>
      </c>
      <c r="K55" s="27" t="s">
        <v>686</v>
      </c>
      <c r="L55" s="27">
        <v>0</v>
      </c>
      <c r="M55" s="27" t="s">
        <v>686</v>
      </c>
      <c r="N55" s="27" t="s">
        <v>784</v>
      </c>
      <c r="O55" s="27" t="s">
        <v>773</v>
      </c>
      <c r="P55" s="27" t="s">
        <v>776</v>
      </c>
      <c r="Q55" s="27" t="s">
        <v>686</v>
      </c>
      <c r="R55" s="27">
        <v>1</v>
      </c>
      <c r="S55" s="27" t="s">
        <v>772</v>
      </c>
      <c r="T55" s="27" t="s">
        <v>777</v>
      </c>
      <c r="U55" s="27" t="s">
        <v>771</v>
      </c>
      <c r="V55" s="27" t="s">
        <v>685</v>
      </c>
      <c r="W55" s="27"/>
      <c r="X55" s="27" t="s">
        <v>761</v>
      </c>
    </row>
    <row r="56" spans="1:24" x14ac:dyDescent="0.25">
      <c r="A56" s="31" t="s">
        <v>688</v>
      </c>
      <c r="B56" s="31" t="s">
        <v>889</v>
      </c>
      <c r="C56" s="7" t="s">
        <v>771</v>
      </c>
      <c r="D56" s="7">
        <v>35110</v>
      </c>
      <c r="E56" s="7" t="s">
        <v>686</v>
      </c>
      <c r="F56" s="7" t="s">
        <v>950</v>
      </c>
      <c r="G56" s="7" t="s">
        <v>686</v>
      </c>
      <c r="H56" s="7">
        <v>55</v>
      </c>
      <c r="I56" s="7" t="s">
        <v>686</v>
      </c>
      <c r="J56" s="7">
        <v>3</v>
      </c>
      <c r="K56" s="7" t="s">
        <v>686</v>
      </c>
      <c r="L56" s="7">
        <v>0</v>
      </c>
      <c r="M56" s="7" t="s">
        <v>686</v>
      </c>
      <c r="N56" s="7" t="s">
        <v>784</v>
      </c>
      <c r="O56" s="7" t="s">
        <v>773</v>
      </c>
      <c r="P56" s="7" t="s">
        <v>776</v>
      </c>
      <c r="Q56" s="7" t="s">
        <v>686</v>
      </c>
      <c r="R56" s="7">
        <v>100</v>
      </c>
      <c r="S56" s="7" t="s">
        <v>772</v>
      </c>
      <c r="T56" s="7" t="s">
        <v>763</v>
      </c>
      <c r="U56" s="7" t="s">
        <v>771</v>
      </c>
      <c r="V56" s="7" t="s">
        <v>685</v>
      </c>
      <c r="W56" s="7"/>
      <c r="X56" s="7" t="s">
        <v>761</v>
      </c>
    </row>
    <row r="57" spans="1:24" x14ac:dyDescent="0.25">
      <c r="A57" s="31" t="s">
        <v>688</v>
      </c>
      <c r="B57" s="31" t="s">
        <v>890</v>
      </c>
      <c r="C57" s="7" t="s">
        <v>771</v>
      </c>
      <c r="D57" s="7">
        <v>35111</v>
      </c>
      <c r="E57" s="7" t="s">
        <v>686</v>
      </c>
      <c r="F57" s="7" t="s">
        <v>950</v>
      </c>
      <c r="G57" s="7" t="s">
        <v>686</v>
      </c>
      <c r="H57" s="7">
        <v>56</v>
      </c>
      <c r="I57" s="7" t="s">
        <v>686</v>
      </c>
      <c r="J57" s="7">
        <v>0</v>
      </c>
      <c r="K57" s="7" t="s">
        <v>686</v>
      </c>
      <c r="L57" s="7">
        <v>1</v>
      </c>
      <c r="M57" s="7" t="s">
        <v>686</v>
      </c>
      <c r="N57" s="7" t="s">
        <v>784</v>
      </c>
      <c r="O57" s="7" t="s">
        <v>773</v>
      </c>
      <c r="P57" s="7" t="s">
        <v>776</v>
      </c>
      <c r="Q57" s="7" t="s">
        <v>686</v>
      </c>
      <c r="R57" s="7">
        <v>100</v>
      </c>
      <c r="S57" s="7" t="s">
        <v>772</v>
      </c>
      <c r="T57" s="7" t="s">
        <v>764</v>
      </c>
      <c r="U57" s="7" t="s">
        <v>771</v>
      </c>
      <c r="V57" s="7" t="s">
        <v>685</v>
      </c>
      <c r="W57" s="7"/>
      <c r="X57" s="7" t="s">
        <v>761</v>
      </c>
    </row>
    <row r="58" spans="1:24" x14ac:dyDescent="0.25">
      <c r="A58" s="31" t="s">
        <v>688</v>
      </c>
      <c r="B58" s="31" t="s">
        <v>891</v>
      </c>
      <c r="C58" s="7" t="s">
        <v>771</v>
      </c>
      <c r="D58" s="7">
        <v>35112</v>
      </c>
      <c r="E58" s="7" t="s">
        <v>686</v>
      </c>
      <c r="F58" s="7" t="s">
        <v>950</v>
      </c>
      <c r="G58" s="7" t="s">
        <v>686</v>
      </c>
      <c r="H58" s="7">
        <v>57</v>
      </c>
      <c r="I58" s="7" t="s">
        <v>686</v>
      </c>
      <c r="J58" s="7">
        <v>0</v>
      </c>
      <c r="K58" s="7" t="s">
        <v>686</v>
      </c>
      <c r="L58" s="7">
        <v>2</v>
      </c>
      <c r="M58" s="7" t="s">
        <v>686</v>
      </c>
      <c r="N58" s="7" t="s">
        <v>784</v>
      </c>
      <c r="O58" s="7" t="s">
        <v>773</v>
      </c>
      <c r="P58" s="7" t="s">
        <v>776</v>
      </c>
      <c r="Q58" s="7" t="s">
        <v>686</v>
      </c>
      <c r="R58" s="7">
        <v>100</v>
      </c>
      <c r="S58" s="7" t="s">
        <v>772</v>
      </c>
      <c r="T58" s="7" t="s">
        <v>764</v>
      </c>
      <c r="U58" s="7" t="s">
        <v>771</v>
      </c>
      <c r="V58" s="7" t="s">
        <v>685</v>
      </c>
      <c r="W58" s="7"/>
      <c r="X58" s="7" t="s">
        <v>761</v>
      </c>
    </row>
    <row r="59" spans="1:24" x14ac:dyDescent="0.25">
      <c r="A59" s="32" t="s">
        <v>688</v>
      </c>
      <c r="B59" s="32" t="s">
        <v>892</v>
      </c>
      <c r="C59" s="27" t="s">
        <v>771</v>
      </c>
      <c r="D59" s="27">
        <v>36000</v>
      </c>
      <c r="E59" s="27" t="s">
        <v>686</v>
      </c>
      <c r="F59" s="27" t="s">
        <v>954</v>
      </c>
      <c r="G59" s="27" t="s">
        <v>686</v>
      </c>
      <c r="H59" s="27">
        <v>58</v>
      </c>
      <c r="I59" s="27" t="s">
        <v>686</v>
      </c>
      <c r="J59" s="27">
        <v>1</v>
      </c>
      <c r="K59" s="27" t="s">
        <v>686</v>
      </c>
      <c r="L59" s="27">
        <v>0</v>
      </c>
      <c r="M59" s="27" t="s">
        <v>686</v>
      </c>
      <c r="N59" s="27" t="s">
        <v>784</v>
      </c>
      <c r="O59" s="27" t="s">
        <v>778</v>
      </c>
      <c r="P59" s="27" t="s">
        <v>776</v>
      </c>
      <c r="Q59" s="27" t="s">
        <v>686</v>
      </c>
      <c r="R59" s="27">
        <v>1</v>
      </c>
      <c r="S59" s="27" t="s">
        <v>772</v>
      </c>
      <c r="T59" s="27" t="s">
        <v>777</v>
      </c>
      <c r="U59" s="27" t="s">
        <v>771</v>
      </c>
      <c r="V59" s="27" t="s">
        <v>685</v>
      </c>
      <c r="W59" s="27"/>
      <c r="X59" s="27" t="s">
        <v>761</v>
      </c>
    </row>
    <row r="60" spans="1:24" x14ac:dyDescent="0.25">
      <c r="A60" s="31" t="s">
        <v>688</v>
      </c>
      <c r="B60" s="31" t="s">
        <v>961</v>
      </c>
      <c r="C60" s="7" t="s">
        <v>771</v>
      </c>
      <c r="D60" s="7">
        <v>36100</v>
      </c>
      <c r="E60" s="7" t="s">
        <v>686</v>
      </c>
      <c r="F60" s="7" t="s">
        <v>955</v>
      </c>
      <c r="G60" s="7" t="s">
        <v>686</v>
      </c>
      <c r="H60" s="7">
        <v>59</v>
      </c>
      <c r="I60" s="7" t="s">
        <v>686</v>
      </c>
      <c r="J60" s="7">
        <v>1</v>
      </c>
      <c r="K60" s="7" t="s">
        <v>686</v>
      </c>
      <c r="L60" s="7">
        <v>0</v>
      </c>
      <c r="M60" s="7" t="s">
        <v>686</v>
      </c>
      <c r="N60" s="7" t="s">
        <v>784</v>
      </c>
      <c r="O60" s="7" t="s">
        <v>778</v>
      </c>
      <c r="P60" s="7" t="s">
        <v>776</v>
      </c>
      <c r="Q60" s="7" t="s">
        <v>686</v>
      </c>
      <c r="R60" s="7">
        <v>1</v>
      </c>
      <c r="S60" s="7" t="s">
        <v>772</v>
      </c>
      <c r="T60" s="7" t="s">
        <v>777</v>
      </c>
      <c r="U60" s="7" t="s">
        <v>771</v>
      </c>
      <c r="V60" s="7" t="s">
        <v>685</v>
      </c>
      <c r="W60" s="7"/>
      <c r="X60" s="7" t="s">
        <v>761</v>
      </c>
    </row>
    <row r="61" spans="1:24" x14ac:dyDescent="0.25">
      <c r="A61" s="31" t="s">
        <v>688</v>
      </c>
      <c r="B61" s="31" t="s">
        <v>960</v>
      </c>
      <c r="C61" s="7" t="s">
        <v>771</v>
      </c>
      <c r="D61" s="7">
        <v>36101</v>
      </c>
      <c r="E61" s="7" t="s">
        <v>686</v>
      </c>
      <c r="F61" s="7" t="s">
        <v>955</v>
      </c>
      <c r="G61" s="7" t="s">
        <v>686</v>
      </c>
      <c r="H61" s="7">
        <v>60</v>
      </c>
      <c r="I61" s="7" t="s">
        <v>686</v>
      </c>
      <c r="J61" s="7">
        <v>1</v>
      </c>
      <c r="K61" s="7" t="s">
        <v>686</v>
      </c>
      <c r="L61" s="7">
        <v>1</v>
      </c>
      <c r="M61" s="7" t="s">
        <v>686</v>
      </c>
      <c r="N61" s="7" t="s">
        <v>784</v>
      </c>
      <c r="O61" s="7" t="s">
        <v>778</v>
      </c>
      <c r="P61" s="7" t="s">
        <v>776</v>
      </c>
      <c r="Q61" s="7" t="s">
        <v>686</v>
      </c>
      <c r="R61" s="7">
        <v>1</v>
      </c>
      <c r="S61" s="7" t="s">
        <v>772</v>
      </c>
      <c r="T61" s="7" t="s">
        <v>777</v>
      </c>
      <c r="U61" s="7" t="s">
        <v>771</v>
      </c>
      <c r="V61" s="7" t="s">
        <v>685</v>
      </c>
      <c r="W61" s="7"/>
      <c r="X61" s="7" t="s">
        <v>761</v>
      </c>
    </row>
    <row r="62" spans="1:24" x14ac:dyDescent="0.25">
      <c r="A62" s="32" t="s">
        <v>688</v>
      </c>
      <c r="B62" s="32" t="s">
        <v>894</v>
      </c>
      <c r="C62" s="27" t="s">
        <v>771</v>
      </c>
      <c r="D62" s="27">
        <v>41000</v>
      </c>
      <c r="E62" s="27" t="s">
        <v>686</v>
      </c>
      <c r="F62" s="27" t="s">
        <v>949</v>
      </c>
      <c r="G62" s="27" t="s">
        <v>686</v>
      </c>
      <c r="H62" s="27">
        <v>61</v>
      </c>
      <c r="I62" s="27" t="s">
        <v>686</v>
      </c>
      <c r="J62" s="27">
        <v>1</v>
      </c>
      <c r="K62" s="27" t="s">
        <v>686</v>
      </c>
      <c r="L62" s="27">
        <v>0</v>
      </c>
      <c r="M62" s="27" t="s">
        <v>686</v>
      </c>
      <c r="N62" s="27" t="s">
        <v>785</v>
      </c>
      <c r="O62" s="27" t="s">
        <v>773</v>
      </c>
      <c r="P62" s="27" t="s">
        <v>776</v>
      </c>
      <c r="Q62" s="27" t="s">
        <v>686</v>
      </c>
      <c r="R62" s="27">
        <v>1</v>
      </c>
      <c r="S62" s="27" t="s">
        <v>772</v>
      </c>
      <c r="T62" s="27" t="s">
        <v>777</v>
      </c>
      <c r="U62" s="27" t="s">
        <v>771</v>
      </c>
      <c r="V62" s="27" t="s">
        <v>685</v>
      </c>
      <c r="W62" s="27"/>
      <c r="X62" s="27" t="s">
        <v>761</v>
      </c>
    </row>
    <row r="63" spans="1:24" x14ac:dyDescent="0.25">
      <c r="A63" s="31" t="s">
        <v>688</v>
      </c>
      <c r="B63" s="31" t="s">
        <v>895</v>
      </c>
      <c r="C63" s="7" t="s">
        <v>771</v>
      </c>
      <c r="D63" s="7">
        <v>41100</v>
      </c>
      <c r="E63" s="7" t="s">
        <v>686</v>
      </c>
      <c r="F63" s="7" t="s">
        <v>956</v>
      </c>
      <c r="G63" s="7" t="s">
        <v>686</v>
      </c>
      <c r="H63" s="7">
        <v>62</v>
      </c>
      <c r="I63" s="7" t="s">
        <v>686</v>
      </c>
      <c r="J63" s="7">
        <v>1</v>
      </c>
      <c r="K63" s="7" t="s">
        <v>686</v>
      </c>
      <c r="L63" s="7">
        <v>0</v>
      </c>
      <c r="M63" s="7" t="s">
        <v>686</v>
      </c>
      <c r="N63" s="7" t="s">
        <v>785</v>
      </c>
      <c r="O63" s="7" t="s">
        <v>773</v>
      </c>
      <c r="P63" s="7" t="s">
        <v>776</v>
      </c>
      <c r="Q63" s="7" t="s">
        <v>686</v>
      </c>
      <c r="R63" s="7">
        <v>1</v>
      </c>
      <c r="S63" s="7" t="s">
        <v>772</v>
      </c>
      <c r="T63" s="7" t="s">
        <v>777</v>
      </c>
      <c r="U63" s="7" t="s">
        <v>771</v>
      </c>
      <c r="V63" s="7" t="s">
        <v>685</v>
      </c>
      <c r="W63" s="7"/>
      <c r="X63" s="7" t="s">
        <v>761</v>
      </c>
    </row>
    <row r="64" spans="1:24" x14ac:dyDescent="0.25">
      <c r="A64" s="32" t="s">
        <v>688</v>
      </c>
      <c r="B64" s="32" t="s">
        <v>896</v>
      </c>
      <c r="C64" s="27" t="s">
        <v>771</v>
      </c>
      <c r="D64" s="27">
        <v>41200</v>
      </c>
      <c r="E64" s="27" t="s">
        <v>686</v>
      </c>
      <c r="F64" s="27" t="s">
        <v>958</v>
      </c>
      <c r="G64" s="27" t="s">
        <v>686</v>
      </c>
      <c r="H64" s="27">
        <v>63</v>
      </c>
      <c r="I64" s="27" t="s">
        <v>686</v>
      </c>
      <c r="J64" s="27">
        <v>1</v>
      </c>
      <c r="K64" s="27" t="s">
        <v>686</v>
      </c>
      <c r="L64" s="27">
        <v>0</v>
      </c>
      <c r="M64" s="27" t="s">
        <v>686</v>
      </c>
      <c r="N64" s="27" t="s">
        <v>785</v>
      </c>
      <c r="O64" s="27" t="s">
        <v>773</v>
      </c>
      <c r="P64" s="27" t="s">
        <v>776</v>
      </c>
      <c r="Q64" s="27" t="s">
        <v>686</v>
      </c>
      <c r="R64" s="27">
        <v>1</v>
      </c>
      <c r="S64" s="27" t="s">
        <v>772</v>
      </c>
      <c r="T64" s="27" t="s">
        <v>777</v>
      </c>
      <c r="U64" s="27" t="s">
        <v>771</v>
      </c>
      <c r="V64" s="27" t="s">
        <v>685</v>
      </c>
      <c r="W64" s="27"/>
      <c r="X64" s="27" t="s">
        <v>761</v>
      </c>
    </row>
    <row r="65" spans="1:24" x14ac:dyDescent="0.25">
      <c r="A65" s="31" t="s">
        <v>688</v>
      </c>
      <c r="B65" s="31" t="s">
        <v>897</v>
      </c>
      <c r="C65" s="7" t="s">
        <v>771</v>
      </c>
      <c r="D65" s="7">
        <v>42000</v>
      </c>
      <c r="E65" s="7" t="s">
        <v>686</v>
      </c>
      <c r="F65" s="7" t="s">
        <v>951</v>
      </c>
      <c r="G65" s="7" t="s">
        <v>686</v>
      </c>
      <c r="H65" s="7">
        <v>64</v>
      </c>
      <c r="I65" s="7" t="s">
        <v>686</v>
      </c>
      <c r="J65" s="7">
        <v>1</v>
      </c>
      <c r="K65" s="7" t="s">
        <v>686</v>
      </c>
      <c r="L65" s="7">
        <v>0</v>
      </c>
      <c r="M65" s="7" t="s">
        <v>686</v>
      </c>
      <c r="N65" s="7" t="s">
        <v>785</v>
      </c>
      <c r="O65" s="7" t="s">
        <v>773</v>
      </c>
      <c r="P65" s="7" t="s">
        <v>776</v>
      </c>
      <c r="Q65" s="7" t="s">
        <v>686</v>
      </c>
      <c r="R65" s="7">
        <v>1</v>
      </c>
      <c r="S65" s="7" t="s">
        <v>772</v>
      </c>
      <c r="T65" s="7" t="s">
        <v>777</v>
      </c>
      <c r="U65" s="7" t="s">
        <v>771</v>
      </c>
      <c r="V65" s="7" t="s">
        <v>685</v>
      </c>
      <c r="W65" s="7"/>
      <c r="X65" s="7" t="s">
        <v>761</v>
      </c>
    </row>
    <row r="66" spans="1:24" x14ac:dyDescent="0.25">
      <c r="A66" s="32" t="s">
        <v>688</v>
      </c>
      <c r="B66" s="32" t="s">
        <v>888</v>
      </c>
      <c r="C66" s="27" t="s">
        <v>771</v>
      </c>
      <c r="D66" s="27">
        <v>42010</v>
      </c>
      <c r="E66" s="27" t="s">
        <v>686</v>
      </c>
      <c r="F66" s="27" t="s">
        <v>957</v>
      </c>
      <c r="G66" s="27" t="s">
        <v>686</v>
      </c>
      <c r="H66" s="27">
        <v>65</v>
      </c>
      <c r="I66" s="27" t="s">
        <v>686</v>
      </c>
      <c r="J66" s="27">
        <v>2</v>
      </c>
      <c r="K66" s="27" t="s">
        <v>686</v>
      </c>
      <c r="L66" s="27">
        <v>0</v>
      </c>
      <c r="M66" s="27" t="s">
        <v>686</v>
      </c>
      <c r="N66" s="27" t="s">
        <v>785</v>
      </c>
      <c r="O66" s="27" t="s">
        <v>773</v>
      </c>
      <c r="P66" s="27" t="s">
        <v>776</v>
      </c>
      <c r="Q66" s="27" t="s">
        <v>686</v>
      </c>
      <c r="R66" s="27">
        <v>1</v>
      </c>
      <c r="S66" s="27" t="s">
        <v>772</v>
      </c>
      <c r="T66" s="27" t="s">
        <v>777</v>
      </c>
      <c r="U66" s="27" t="s">
        <v>771</v>
      </c>
      <c r="V66" s="27" t="s">
        <v>685</v>
      </c>
      <c r="W66" s="27"/>
      <c r="X66" s="27" t="s">
        <v>761</v>
      </c>
    </row>
    <row r="67" spans="1:24" x14ac:dyDescent="0.25">
      <c r="A67" s="32" t="s">
        <v>688</v>
      </c>
      <c r="B67" s="32" t="s">
        <v>898</v>
      </c>
      <c r="C67" s="27" t="s">
        <v>771</v>
      </c>
      <c r="D67" s="27">
        <v>42011</v>
      </c>
      <c r="E67" s="27" t="s">
        <v>686</v>
      </c>
      <c r="F67" s="27" t="s">
        <v>957</v>
      </c>
      <c r="G67" s="27" t="s">
        <v>686</v>
      </c>
      <c r="H67" s="27">
        <v>66</v>
      </c>
      <c r="I67" s="27" t="s">
        <v>686</v>
      </c>
      <c r="J67" s="27">
        <v>0</v>
      </c>
      <c r="K67" s="27" t="s">
        <v>686</v>
      </c>
      <c r="L67" s="27">
        <v>1</v>
      </c>
      <c r="M67" s="27" t="s">
        <v>686</v>
      </c>
      <c r="N67" s="27" t="s">
        <v>785</v>
      </c>
      <c r="O67" s="27" t="s">
        <v>773</v>
      </c>
      <c r="P67" s="27" t="s">
        <v>776</v>
      </c>
      <c r="Q67" s="27" t="s">
        <v>686</v>
      </c>
      <c r="R67" s="27" t="s">
        <v>246</v>
      </c>
      <c r="S67" s="27" t="s">
        <v>772</v>
      </c>
      <c r="T67" s="27" t="s">
        <v>777</v>
      </c>
      <c r="U67" s="27" t="s">
        <v>771</v>
      </c>
      <c r="V67" s="27" t="s">
        <v>685</v>
      </c>
      <c r="W67" s="27"/>
      <c r="X67" s="27" t="s">
        <v>761</v>
      </c>
    </row>
    <row r="68" spans="1:24" x14ac:dyDescent="0.25">
      <c r="A68" s="31" t="s">
        <v>688</v>
      </c>
      <c r="B68" s="31" t="s">
        <v>899</v>
      </c>
      <c r="C68" s="7" t="s">
        <v>771</v>
      </c>
      <c r="D68" s="7">
        <v>42020</v>
      </c>
      <c r="E68" s="7" t="s">
        <v>686</v>
      </c>
      <c r="F68" s="7" t="s">
        <v>953</v>
      </c>
      <c r="G68" s="7" t="s">
        <v>686</v>
      </c>
      <c r="H68" s="7">
        <v>67</v>
      </c>
      <c r="I68" s="7" t="s">
        <v>686</v>
      </c>
      <c r="J68" s="7">
        <v>2</v>
      </c>
      <c r="K68" s="7" t="s">
        <v>686</v>
      </c>
      <c r="L68" s="7">
        <v>0</v>
      </c>
      <c r="M68" s="7" t="s">
        <v>686</v>
      </c>
      <c r="N68" s="7" t="s">
        <v>785</v>
      </c>
      <c r="O68" s="7" t="s">
        <v>773</v>
      </c>
      <c r="P68" s="7" t="s">
        <v>776</v>
      </c>
      <c r="Q68" s="7" t="s">
        <v>686</v>
      </c>
      <c r="R68" s="7">
        <v>1</v>
      </c>
      <c r="S68" s="7" t="s">
        <v>772</v>
      </c>
      <c r="T68" s="7" t="s">
        <v>765</v>
      </c>
      <c r="U68" s="7" t="s">
        <v>771</v>
      </c>
      <c r="V68" s="7" t="s">
        <v>685</v>
      </c>
      <c r="W68" s="7"/>
      <c r="X68" s="7" t="s">
        <v>761</v>
      </c>
    </row>
    <row r="69" spans="1:24" x14ac:dyDescent="0.25">
      <c r="A69" s="31" t="s">
        <v>688</v>
      </c>
      <c r="B69" s="31" t="s">
        <v>900</v>
      </c>
      <c r="C69" s="7" t="s">
        <v>771</v>
      </c>
      <c r="D69" s="7">
        <v>42021</v>
      </c>
      <c r="E69" s="7" t="s">
        <v>686</v>
      </c>
      <c r="F69" s="7" t="s">
        <v>953</v>
      </c>
      <c r="G69" s="7" t="s">
        <v>686</v>
      </c>
      <c r="H69" s="7">
        <v>68</v>
      </c>
      <c r="I69" s="7" t="s">
        <v>686</v>
      </c>
      <c r="J69" s="7">
        <v>0</v>
      </c>
      <c r="K69" s="7" t="s">
        <v>686</v>
      </c>
      <c r="L69" s="7">
        <v>1</v>
      </c>
      <c r="M69" s="7" t="s">
        <v>686</v>
      </c>
      <c r="N69" s="7" t="s">
        <v>785</v>
      </c>
      <c r="O69" s="7" t="s">
        <v>773</v>
      </c>
      <c r="P69" s="7" t="s">
        <v>776</v>
      </c>
      <c r="Q69" s="7" t="s">
        <v>686</v>
      </c>
      <c r="R69" s="7">
        <v>1</v>
      </c>
      <c r="S69" s="7" t="s">
        <v>772</v>
      </c>
      <c r="T69" s="7" t="s">
        <v>765</v>
      </c>
      <c r="U69" s="7" t="s">
        <v>771</v>
      </c>
      <c r="V69" s="7" t="s">
        <v>685</v>
      </c>
      <c r="W69" s="7"/>
      <c r="X69" s="7" t="s">
        <v>761</v>
      </c>
    </row>
    <row r="70" spans="1:24" x14ac:dyDescent="0.25">
      <c r="A70" s="32" t="s">
        <v>688</v>
      </c>
      <c r="B70" s="32" t="s">
        <v>901</v>
      </c>
      <c r="C70" s="27" t="s">
        <v>771</v>
      </c>
      <c r="D70" s="27">
        <v>43000</v>
      </c>
      <c r="E70" s="27" t="s">
        <v>686</v>
      </c>
      <c r="F70" s="27" t="s">
        <v>952</v>
      </c>
      <c r="G70" s="27" t="s">
        <v>686</v>
      </c>
      <c r="H70" s="27">
        <v>69</v>
      </c>
      <c r="I70" s="27" t="s">
        <v>686</v>
      </c>
      <c r="J70" s="27">
        <v>1</v>
      </c>
      <c r="K70" s="27" t="s">
        <v>686</v>
      </c>
      <c r="L70" s="27">
        <v>0</v>
      </c>
      <c r="M70" s="27" t="s">
        <v>686</v>
      </c>
      <c r="N70" s="27" t="s">
        <v>785</v>
      </c>
      <c r="O70" s="27" t="s">
        <v>773</v>
      </c>
      <c r="P70" s="27" t="s">
        <v>776</v>
      </c>
      <c r="Q70" s="27" t="s">
        <v>686</v>
      </c>
      <c r="R70" s="27">
        <v>1</v>
      </c>
      <c r="S70" s="27" t="s">
        <v>772</v>
      </c>
      <c r="T70" s="27" t="s">
        <v>777</v>
      </c>
      <c r="U70" s="27" t="s">
        <v>771</v>
      </c>
      <c r="V70" s="27" t="s">
        <v>685</v>
      </c>
      <c r="W70" s="27"/>
      <c r="X70" s="27" t="s">
        <v>761</v>
      </c>
    </row>
    <row r="71" spans="1:24" x14ac:dyDescent="0.25">
      <c r="A71" s="31" t="s">
        <v>688</v>
      </c>
      <c r="B71" s="31" t="s">
        <v>902</v>
      </c>
      <c r="C71" s="7" t="s">
        <v>771</v>
      </c>
      <c r="D71" s="7">
        <v>44000</v>
      </c>
      <c r="E71" s="7" t="s">
        <v>686</v>
      </c>
      <c r="F71" s="7" t="s">
        <v>959</v>
      </c>
      <c r="G71" s="7" t="s">
        <v>686</v>
      </c>
      <c r="H71" s="7">
        <v>70</v>
      </c>
      <c r="I71" s="7" t="s">
        <v>686</v>
      </c>
      <c r="J71" s="7">
        <v>4</v>
      </c>
      <c r="K71" s="7" t="s">
        <v>686</v>
      </c>
      <c r="L71" s="7">
        <v>0</v>
      </c>
      <c r="M71" s="7" t="s">
        <v>686</v>
      </c>
      <c r="N71" s="7" t="s">
        <v>785</v>
      </c>
      <c r="O71" s="7" t="s">
        <v>773</v>
      </c>
      <c r="P71" s="7" t="s">
        <v>776</v>
      </c>
      <c r="Q71" s="7" t="s">
        <v>686</v>
      </c>
      <c r="R71" s="7" t="s">
        <v>770</v>
      </c>
      <c r="S71" s="7" t="s">
        <v>772</v>
      </c>
      <c r="T71" s="7" t="s">
        <v>766</v>
      </c>
      <c r="U71" s="7" t="s">
        <v>771</v>
      </c>
      <c r="V71" s="7" t="s">
        <v>685</v>
      </c>
      <c r="W71" s="7"/>
      <c r="X71" s="7" t="s">
        <v>761</v>
      </c>
    </row>
    <row r="72" spans="1:24" x14ac:dyDescent="0.25">
      <c r="A72" s="31" t="s">
        <v>688</v>
      </c>
      <c r="B72" s="31" t="s">
        <v>903</v>
      </c>
      <c r="C72" s="7" t="s">
        <v>771</v>
      </c>
      <c r="D72" s="7">
        <v>44001</v>
      </c>
      <c r="E72" s="7" t="s">
        <v>686</v>
      </c>
      <c r="F72" s="7" t="s">
        <v>959</v>
      </c>
      <c r="G72" s="7" t="s">
        <v>686</v>
      </c>
      <c r="H72" s="7">
        <v>71</v>
      </c>
      <c r="I72" s="7" t="s">
        <v>686</v>
      </c>
      <c r="J72" s="7">
        <v>0</v>
      </c>
      <c r="K72" s="7" t="s">
        <v>686</v>
      </c>
      <c r="L72" s="7">
        <v>1</v>
      </c>
      <c r="M72" s="7" t="s">
        <v>686</v>
      </c>
      <c r="N72" s="7" t="s">
        <v>785</v>
      </c>
      <c r="O72" s="7" t="s">
        <v>773</v>
      </c>
      <c r="P72" s="7" t="s">
        <v>776</v>
      </c>
      <c r="Q72" s="7" t="s">
        <v>686</v>
      </c>
      <c r="R72" s="7" t="s">
        <v>770</v>
      </c>
      <c r="S72" s="7" t="s">
        <v>772</v>
      </c>
      <c r="T72" s="7" t="s">
        <v>766</v>
      </c>
      <c r="U72" s="7" t="s">
        <v>771</v>
      </c>
      <c r="V72" s="7" t="s">
        <v>685</v>
      </c>
      <c r="W72" s="7"/>
      <c r="X72" s="7" t="s">
        <v>761</v>
      </c>
    </row>
    <row r="73" spans="1:24" x14ac:dyDescent="0.25">
      <c r="A73" s="31" t="s">
        <v>688</v>
      </c>
      <c r="B73" s="31" t="s">
        <v>904</v>
      </c>
      <c r="C73" s="7" t="s">
        <v>771</v>
      </c>
      <c r="D73" s="7">
        <v>44002</v>
      </c>
      <c r="E73" s="7" t="s">
        <v>686</v>
      </c>
      <c r="F73" s="7" t="s">
        <v>959</v>
      </c>
      <c r="G73" s="7" t="s">
        <v>686</v>
      </c>
      <c r="H73" s="7">
        <v>72</v>
      </c>
      <c r="I73" s="7" t="s">
        <v>686</v>
      </c>
      <c r="J73" s="7">
        <v>0</v>
      </c>
      <c r="K73" s="7" t="s">
        <v>686</v>
      </c>
      <c r="L73" s="7">
        <v>2</v>
      </c>
      <c r="M73" s="7" t="s">
        <v>686</v>
      </c>
      <c r="N73" s="7" t="s">
        <v>785</v>
      </c>
      <c r="O73" s="7" t="s">
        <v>773</v>
      </c>
      <c r="P73" s="7" t="s">
        <v>776</v>
      </c>
      <c r="Q73" s="7" t="s">
        <v>686</v>
      </c>
      <c r="R73" s="7">
        <v>1</v>
      </c>
      <c r="S73" s="7" t="s">
        <v>772</v>
      </c>
      <c r="T73" s="7" t="s">
        <v>765</v>
      </c>
      <c r="U73" s="7" t="s">
        <v>771</v>
      </c>
      <c r="V73" s="7" t="s">
        <v>685</v>
      </c>
      <c r="W73" s="7"/>
      <c r="X73" s="7" t="s">
        <v>761</v>
      </c>
    </row>
    <row r="74" spans="1:24" x14ac:dyDescent="0.25">
      <c r="A74" s="31" t="s">
        <v>688</v>
      </c>
      <c r="B74" s="31" t="s">
        <v>905</v>
      </c>
      <c r="C74" s="7" t="s">
        <v>771</v>
      </c>
      <c r="D74" s="7">
        <v>44003</v>
      </c>
      <c r="E74" s="7" t="s">
        <v>686</v>
      </c>
      <c r="F74" s="7" t="s">
        <v>959</v>
      </c>
      <c r="G74" s="7" t="s">
        <v>686</v>
      </c>
      <c r="H74" s="7">
        <v>73</v>
      </c>
      <c r="I74" s="7" t="s">
        <v>686</v>
      </c>
      <c r="J74" s="7">
        <v>0</v>
      </c>
      <c r="K74" s="7" t="s">
        <v>686</v>
      </c>
      <c r="L74" s="7">
        <v>3</v>
      </c>
      <c r="M74" s="7" t="s">
        <v>686</v>
      </c>
      <c r="N74" s="7" t="s">
        <v>785</v>
      </c>
      <c r="O74" s="7" t="s">
        <v>773</v>
      </c>
      <c r="P74" s="7" t="s">
        <v>776</v>
      </c>
      <c r="Q74" s="7" t="s">
        <v>686</v>
      </c>
      <c r="R74" s="7">
        <v>1</v>
      </c>
      <c r="S74" s="7" t="s">
        <v>772</v>
      </c>
      <c r="T74" s="7" t="s">
        <v>765</v>
      </c>
      <c r="U74" s="7" t="s">
        <v>771</v>
      </c>
      <c r="V74" s="7" t="s">
        <v>685</v>
      </c>
      <c r="W74" s="7"/>
      <c r="X74" s="7" t="s">
        <v>760</v>
      </c>
    </row>
    <row r="75" spans="1:24" x14ac:dyDescent="0.25">
      <c r="C75" s="1"/>
    </row>
    <row r="76" spans="1:24" x14ac:dyDescent="0.25">
      <c r="C76" s="1"/>
    </row>
    <row r="77" spans="1:24" x14ac:dyDescent="0.25">
      <c r="C77" s="1"/>
    </row>
    <row r="78" spans="1:24" x14ac:dyDescent="0.25">
      <c r="C78" s="1"/>
    </row>
    <row r="79" spans="1:24" x14ac:dyDescent="0.25">
      <c r="C7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6BBE-626F-4879-BDD9-A63A22B06D5C}">
  <dimension ref="A1:I21"/>
  <sheetViews>
    <sheetView workbookViewId="0">
      <selection activeCell="F24" sqref="F24"/>
    </sheetView>
  </sheetViews>
  <sheetFormatPr defaultRowHeight="15" x14ac:dyDescent="0.25"/>
  <cols>
    <col min="1" max="1" width="31.85546875" bestFit="1" customWidth="1"/>
    <col min="2" max="3" width="11" customWidth="1"/>
    <col min="4" max="8" width="11" style="1" customWidth="1"/>
    <col min="9" max="9" width="61.140625" customWidth="1"/>
  </cols>
  <sheetData>
    <row r="1" spans="1:9" x14ac:dyDescent="0.25">
      <c r="A1" s="47" t="s">
        <v>990</v>
      </c>
      <c r="B1" s="48" t="s">
        <v>121</v>
      </c>
      <c r="C1" s="48">
        <v>1</v>
      </c>
      <c r="D1" s="48" t="s">
        <v>194</v>
      </c>
      <c r="E1" s="48">
        <v>31000</v>
      </c>
      <c r="F1" s="48">
        <v>20</v>
      </c>
      <c r="G1" s="48" t="s">
        <v>244</v>
      </c>
      <c r="H1" s="48" t="s">
        <v>247</v>
      </c>
      <c r="I1" s="49"/>
    </row>
    <row r="2" spans="1:9" x14ac:dyDescent="0.25">
      <c r="A2" s="50" t="s">
        <v>991</v>
      </c>
      <c r="B2" s="51" t="s">
        <v>121</v>
      </c>
      <c r="C2" s="51">
        <v>2</v>
      </c>
      <c r="D2" s="51" t="s">
        <v>194</v>
      </c>
      <c r="E2" s="51">
        <v>31100</v>
      </c>
      <c r="F2" s="51">
        <v>2</v>
      </c>
      <c r="G2" s="51" t="s">
        <v>245</v>
      </c>
      <c r="H2" s="51" t="s">
        <v>246</v>
      </c>
      <c r="I2" s="52"/>
    </row>
    <row r="3" spans="1:9" x14ac:dyDescent="0.25">
      <c r="A3" s="47" t="s">
        <v>977</v>
      </c>
      <c r="B3" s="48" t="s">
        <v>121</v>
      </c>
      <c r="C3" s="48">
        <v>3</v>
      </c>
      <c r="D3" s="48" t="s">
        <v>194</v>
      </c>
      <c r="E3" s="48">
        <v>31200</v>
      </c>
      <c r="F3" s="48">
        <v>20</v>
      </c>
      <c r="G3" s="48" t="s">
        <v>244</v>
      </c>
      <c r="H3" s="48" t="s">
        <v>247</v>
      </c>
      <c r="I3" s="49"/>
    </row>
    <row r="4" spans="1:9" x14ac:dyDescent="0.25">
      <c r="A4" s="50" t="s">
        <v>981</v>
      </c>
      <c r="B4" s="51" t="s">
        <v>121</v>
      </c>
      <c r="C4" s="51">
        <v>4</v>
      </c>
      <c r="D4" s="51" t="s">
        <v>194</v>
      </c>
      <c r="E4" s="51">
        <v>32100</v>
      </c>
      <c r="F4" s="51">
        <v>2</v>
      </c>
      <c r="G4" s="51" t="s">
        <v>245</v>
      </c>
      <c r="H4" s="51" t="s">
        <v>250</v>
      </c>
      <c r="I4" s="52"/>
    </row>
    <row r="5" spans="1:9" x14ac:dyDescent="0.25">
      <c r="A5" s="47" t="s">
        <v>982</v>
      </c>
      <c r="B5" s="48" t="s">
        <v>121</v>
      </c>
      <c r="C5" s="48">
        <v>9</v>
      </c>
      <c r="D5" s="48" t="s">
        <v>194</v>
      </c>
      <c r="E5" s="48">
        <v>32200</v>
      </c>
      <c r="F5" s="48">
        <v>2</v>
      </c>
      <c r="G5" s="48" t="s">
        <v>245</v>
      </c>
      <c r="H5" s="48" t="s">
        <v>258</v>
      </c>
      <c r="I5" s="49"/>
    </row>
    <row r="6" spans="1:9" x14ac:dyDescent="0.25">
      <c r="A6" s="50" t="s">
        <v>980</v>
      </c>
      <c r="B6" s="51" t="s">
        <v>121</v>
      </c>
      <c r="C6" s="51">
        <v>13</v>
      </c>
      <c r="D6" s="51" t="s">
        <v>194</v>
      </c>
      <c r="E6" s="51">
        <v>32300</v>
      </c>
      <c r="F6" s="51">
        <v>2</v>
      </c>
      <c r="G6" s="51" t="s">
        <v>245</v>
      </c>
      <c r="H6" s="51" t="s">
        <v>258</v>
      </c>
      <c r="I6" s="52"/>
    </row>
    <row r="7" spans="1:9" x14ac:dyDescent="0.25">
      <c r="A7" s="47" t="s">
        <v>992</v>
      </c>
      <c r="B7" s="48" t="s">
        <v>121</v>
      </c>
      <c r="C7" s="48">
        <v>16</v>
      </c>
      <c r="D7" s="48" t="s">
        <v>194</v>
      </c>
      <c r="E7" s="48">
        <v>33000</v>
      </c>
      <c r="F7" s="48">
        <v>4</v>
      </c>
      <c r="G7" s="48" t="s">
        <v>260</v>
      </c>
      <c r="H7" s="48" t="s">
        <v>261</v>
      </c>
      <c r="I7" s="49"/>
    </row>
    <row r="8" spans="1:9" x14ac:dyDescent="0.25">
      <c r="A8" s="50" t="s">
        <v>983</v>
      </c>
      <c r="B8" s="51" t="s">
        <v>121</v>
      </c>
      <c r="C8" s="51">
        <v>22</v>
      </c>
      <c r="D8" s="51" t="s">
        <v>194</v>
      </c>
      <c r="E8" s="51">
        <v>35000</v>
      </c>
      <c r="F8" s="51">
        <v>2</v>
      </c>
      <c r="G8" s="51" t="s">
        <v>245</v>
      </c>
      <c r="H8" s="51" t="s">
        <v>262</v>
      </c>
      <c r="I8" s="52"/>
    </row>
    <row r="9" spans="1:9" x14ac:dyDescent="0.25">
      <c r="A9" s="47" t="s">
        <v>993</v>
      </c>
      <c r="B9" s="48" t="s">
        <v>121</v>
      </c>
      <c r="C9" s="48">
        <v>25</v>
      </c>
      <c r="D9" s="48" t="s">
        <v>194</v>
      </c>
      <c r="E9" s="48">
        <v>35010</v>
      </c>
      <c r="F9" s="48">
        <v>2</v>
      </c>
      <c r="G9" s="48" t="s">
        <v>245</v>
      </c>
      <c r="H9" s="48" t="s">
        <v>262</v>
      </c>
      <c r="I9" s="49"/>
    </row>
    <row r="10" spans="1:9" x14ac:dyDescent="0.25">
      <c r="A10" s="50" t="s">
        <v>978</v>
      </c>
      <c r="B10" s="51" t="s">
        <v>121</v>
      </c>
      <c r="C10" s="51">
        <v>27</v>
      </c>
      <c r="D10" s="51" t="s">
        <v>194</v>
      </c>
      <c r="E10" s="51">
        <v>35100</v>
      </c>
      <c r="F10" s="51">
        <v>2</v>
      </c>
      <c r="G10" s="51" t="s">
        <v>245</v>
      </c>
      <c r="H10" s="51" t="s">
        <v>247</v>
      </c>
      <c r="I10" s="52" t="s">
        <v>240</v>
      </c>
    </row>
    <row r="11" spans="1:9" x14ac:dyDescent="0.25">
      <c r="A11" s="50" t="s">
        <v>984</v>
      </c>
      <c r="B11" s="51" t="s">
        <v>121</v>
      </c>
      <c r="C11" s="51">
        <v>28</v>
      </c>
      <c r="D11" s="51" t="s">
        <v>194</v>
      </c>
      <c r="E11" s="51">
        <v>35110</v>
      </c>
      <c r="F11" s="51">
        <v>2</v>
      </c>
      <c r="G11" s="51" t="s">
        <v>245</v>
      </c>
      <c r="H11" s="51" t="s">
        <v>263</v>
      </c>
      <c r="I11" s="52"/>
    </row>
    <row r="12" spans="1:9" x14ac:dyDescent="0.25">
      <c r="A12" s="47" t="s">
        <v>985</v>
      </c>
      <c r="B12" s="48" t="s">
        <v>121</v>
      </c>
      <c r="C12" s="48">
        <v>31</v>
      </c>
      <c r="D12" s="48" t="s">
        <v>194</v>
      </c>
      <c r="E12" s="48">
        <v>36000</v>
      </c>
      <c r="F12" s="48">
        <v>2</v>
      </c>
      <c r="G12" s="48" t="s">
        <v>266</v>
      </c>
      <c r="H12" s="48" t="s">
        <v>247</v>
      </c>
      <c r="I12" s="49"/>
    </row>
    <row r="13" spans="1:9" x14ac:dyDescent="0.25">
      <c r="A13" s="50" t="s">
        <v>979</v>
      </c>
      <c r="B13" s="51" t="s">
        <v>121</v>
      </c>
      <c r="C13" s="51">
        <v>32</v>
      </c>
      <c r="D13" s="51" t="s">
        <v>194</v>
      </c>
      <c r="E13" s="51">
        <v>36100</v>
      </c>
      <c r="F13" s="51">
        <v>4</v>
      </c>
      <c r="G13" s="51" t="s">
        <v>266</v>
      </c>
      <c r="H13" s="51" t="s">
        <v>247</v>
      </c>
      <c r="I13" s="52"/>
    </row>
    <row r="14" spans="1:9" x14ac:dyDescent="0.25">
      <c r="A14" s="47" t="s">
        <v>994</v>
      </c>
      <c r="B14" s="48" t="s">
        <v>121</v>
      </c>
      <c r="C14" s="48">
        <v>33</v>
      </c>
      <c r="D14" s="48" t="s">
        <v>194</v>
      </c>
      <c r="E14" s="48">
        <v>41000</v>
      </c>
      <c r="F14" s="48">
        <v>2</v>
      </c>
      <c r="G14" s="48" t="s">
        <v>245</v>
      </c>
      <c r="H14" s="48" t="s">
        <v>247</v>
      </c>
      <c r="I14" s="49" t="s">
        <v>268</v>
      </c>
    </row>
    <row r="15" spans="1:9" x14ac:dyDescent="0.25">
      <c r="A15" s="50" t="s">
        <v>995</v>
      </c>
      <c r="B15" s="51" t="s">
        <v>121</v>
      </c>
      <c r="C15" s="51">
        <v>34</v>
      </c>
      <c r="D15" s="51" t="s">
        <v>194</v>
      </c>
      <c r="E15" s="51">
        <v>41100</v>
      </c>
      <c r="F15" s="51">
        <v>2</v>
      </c>
      <c r="G15" s="51" t="s">
        <v>245</v>
      </c>
      <c r="H15" s="51" t="s">
        <v>247</v>
      </c>
      <c r="I15" s="52" t="s">
        <v>807</v>
      </c>
    </row>
    <row r="16" spans="1:9" x14ac:dyDescent="0.25">
      <c r="A16" s="47" t="s">
        <v>996</v>
      </c>
      <c r="B16" s="48" t="s">
        <v>121</v>
      </c>
      <c r="C16" s="48">
        <v>35</v>
      </c>
      <c r="D16" s="48" t="s">
        <v>194</v>
      </c>
      <c r="E16" s="48">
        <v>41200</v>
      </c>
      <c r="F16" s="48">
        <v>2</v>
      </c>
      <c r="G16" s="48" t="s">
        <v>245</v>
      </c>
      <c r="H16" s="48" t="s">
        <v>247</v>
      </c>
      <c r="I16" s="49" t="s">
        <v>267</v>
      </c>
    </row>
    <row r="17" spans="1:9" x14ac:dyDescent="0.25">
      <c r="A17" s="50" t="s">
        <v>986</v>
      </c>
      <c r="B17" s="51" t="s">
        <v>121</v>
      </c>
      <c r="C17" s="51">
        <v>36</v>
      </c>
      <c r="D17" s="51" t="s">
        <v>194</v>
      </c>
      <c r="E17" s="51">
        <v>42000</v>
      </c>
      <c r="F17" s="51">
        <v>2</v>
      </c>
      <c r="G17" s="51" t="s">
        <v>245</v>
      </c>
      <c r="H17" s="51" t="s">
        <v>247</v>
      </c>
      <c r="I17" s="52" t="s">
        <v>269</v>
      </c>
    </row>
    <row r="18" spans="1:9" x14ac:dyDescent="0.25">
      <c r="A18" s="47" t="s">
        <v>987</v>
      </c>
      <c r="B18" s="48" t="s">
        <v>121</v>
      </c>
      <c r="C18" s="48">
        <v>37</v>
      </c>
      <c r="D18" s="48" t="s">
        <v>194</v>
      </c>
      <c r="E18" s="48">
        <v>42010</v>
      </c>
      <c r="F18" s="48">
        <v>2</v>
      </c>
      <c r="G18" s="48" t="s">
        <v>245</v>
      </c>
      <c r="H18" s="48" t="s">
        <v>247</v>
      </c>
      <c r="I18" s="49" t="s">
        <v>200</v>
      </c>
    </row>
    <row r="19" spans="1:9" x14ac:dyDescent="0.25">
      <c r="A19" s="50" t="s">
        <v>988</v>
      </c>
      <c r="B19" s="51" t="s">
        <v>121</v>
      </c>
      <c r="C19" s="51">
        <v>39</v>
      </c>
      <c r="D19" s="51" t="s">
        <v>194</v>
      </c>
      <c r="E19" s="51">
        <v>42020</v>
      </c>
      <c r="F19" s="51">
        <v>2</v>
      </c>
      <c r="G19" s="51" t="s">
        <v>245</v>
      </c>
      <c r="H19" s="51" t="s">
        <v>251</v>
      </c>
      <c r="I19" s="52" t="s">
        <v>204</v>
      </c>
    </row>
    <row r="20" spans="1:9" x14ac:dyDescent="0.25">
      <c r="A20" s="47" t="s">
        <v>986</v>
      </c>
      <c r="B20" s="48" t="s">
        <v>121</v>
      </c>
      <c r="C20" s="48">
        <v>41</v>
      </c>
      <c r="D20" s="48" t="s">
        <v>194</v>
      </c>
      <c r="E20" s="48">
        <v>43000</v>
      </c>
      <c r="F20" s="48">
        <v>2</v>
      </c>
      <c r="G20" s="48" t="s">
        <v>245</v>
      </c>
      <c r="H20" s="48" t="s">
        <v>247</v>
      </c>
      <c r="I20" s="49" t="s">
        <v>202</v>
      </c>
    </row>
    <row r="21" spans="1:9" x14ac:dyDescent="0.25">
      <c r="A21" s="50" t="s">
        <v>989</v>
      </c>
      <c r="B21" s="51" t="s">
        <v>121</v>
      </c>
      <c r="C21" s="51">
        <v>42</v>
      </c>
      <c r="D21" s="51" t="s">
        <v>194</v>
      </c>
      <c r="E21" s="51">
        <v>44000</v>
      </c>
      <c r="F21" s="51">
        <v>2</v>
      </c>
      <c r="G21" s="51" t="s">
        <v>245</v>
      </c>
      <c r="H21" s="51" t="s">
        <v>255</v>
      </c>
      <c r="I21" s="5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6A8D-767C-4E93-AB88-548DF982F22D}">
  <sheetPr codeName="Sheet19"/>
  <dimension ref="A1:X51"/>
  <sheetViews>
    <sheetView workbookViewId="0">
      <selection sqref="A1:X46"/>
    </sheetView>
  </sheetViews>
  <sheetFormatPr defaultRowHeight="15" x14ac:dyDescent="0.25"/>
  <cols>
    <col min="2" max="2" width="28" bestFit="1" customWidth="1"/>
    <col min="3" max="3" width="2.28515625" bestFit="1" customWidth="1"/>
    <col min="4" max="4" width="6" style="1" bestFit="1" customWidth="1"/>
    <col min="5" max="5" width="1.5703125" style="1" bestFit="1" customWidth="1"/>
    <col min="6" max="6" width="6.7109375" style="1" bestFit="1" customWidth="1"/>
    <col min="7" max="7" width="1.5703125" style="1" bestFit="1" customWidth="1"/>
    <col min="8" max="8" width="5.42578125" style="1" customWidth="1"/>
    <col min="9" max="9" width="1.5703125" style="1" bestFit="1" customWidth="1"/>
    <col min="10" max="10" width="7.85546875" style="1" bestFit="1" customWidth="1"/>
    <col min="11" max="11" width="1.5703125" style="1" bestFit="1" customWidth="1"/>
    <col min="12" max="12" width="5.85546875" style="1" bestFit="1" customWidth="1"/>
    <col min="13" max="13" width="6.5703125" style="1" bestFit="1" customWidth="1"/>
    <col min="14" max="14" width="9.85546875" style="1" bestFit="1" customWidth="1"/>
    <col min="15" max="15" width="1.5703125" style="1" bestFit="1" customWidth="1"/>
    <col min="16" max="16" width="11.5703125" style="1" bestFit="1" customWidth="1"/>
    <col min="17" max="17" width="1.5703125" style="1" bestFit="1" customWidth="1"/>
    <col min="18" max="18" width="6.85546875" style="1" bestFit="1" customWidth="1"/>
    <col min="19" max="19" width="2.28515625" style="1" bestFit="1" customWidth="1"/>
    <col min="20" max="20" width="6.42578125" style="1" bestFit="1" customWidth="1"/>
    <col min="21" max="21" width="2.28515625" style="1" bestFit="1" customWidth="1"/>
    <col min="22" max="22" width="1.7109375" style="1" bestFit="1" customWidth="1"/>
    <col min="23" max="23" width="15.5703125" style="1" bestFit="1" customWidth="1"/>
    <col min="24" max="24" width="2.85546875" style="1" bestFit="1" customWidth="1"/>
  </cols>
  <sheetData>
    <row r="1" spans="1:24" x14ac:dyDescent="0.25">
      <c r="A1" s="42" t="s">
        <v>684</v>
      </c>
      <c r="B1" s="40" t="s">
        <v>908</v>
      </c>
      <c r="C1" s="40"/>
      <c r="D1" s="41" t="s">
        <v>909</v>
      </c>
      <c r="E1" s="41"/>
      <c r="F1" s="41" t="s">
        <v>911</v>
      </c>
      <c r="G1" s="41"/>
      <c r="H1" s="41" t="s">
        <v>910</v>
      </c>
      <c r="I1" s="41"/>
      <c r="J1" s="41" t="s">
        <v>912</v>
      </c>
      <c r="K1" s="41"/>
      <c r="L1" s="41" t="s">
        <v>913</v>
      </c>
      <c r="M1" s="41" t="s">
        <v>914</v>
      </c>
      <c r="N1" s="41" t="s">
        <v>915</v>
      </c>
      <c r="O1" s="41"/>
      <c r="P1" s="41" t="s">
        <v>916</v>
      </c>
      <c r="Q1" s="41"/>
      <c r="R1" s="41" t="s">
        <v>917</v>
      </c>
      <c r="S1" s="41"/>
      <c r="T1" s="41" t="s">
        <v>918</v>
      </c>
      <c r="U1" s="41"/>
      <c r="V1" s="41"/>
      <c r="W1" s="41" t="s">
        <v>919</v>
      </c>
      <c r="X1" s="41" t="s">
        <v>920</v>
      </c>
    </row>
    <row r="2" spans="1:24" x14ac:dyDescent="0.25">
      <c r="A2" s="31" t="s">
        <v>688</v>
      </c>
      <c r="B2" s="31" t="s">
        <v>862</v>
      </c>
      <c r="C2" s="7" t="s">
        <v>771</v>
      </c>
      <c r="D2" s="7">
        <v>31000</v>
      </c>
      <c r="E2" s="7" t="s">
        <v>686</v>
      </c>
      <c r="F2" s="7">
        <v>1</v>
      </c>
      <c r="G2" s="7" t="s">
        <v>686</v>
      </c>
      <c r="H2" s="7">
        <v>10</v>
      </c>
      <c r="I2" s="7" t="s">
        <v>686</v>
      </c>
      <c r="J2" s="7">
        <v>0</v>
      </c>
      <c r="K2" s="7" t="s">
        <v>686</v>
      </c>
      <c r="L2" s="7" t="s">
        <v>784</v>
      </c>
      <c r="M2" s="7" t="s">
        <v>774</v>
      </c>
      <c r="N2" s="7" t="s">
        <v>776</v>
      </c>
      <c r="O2" s="7" t="s">
        <v>686</v>
      </c>
      <c r="P2" s="7" t="s">
        <v>786</v>
      </c>
      <c r="Q2" s="7" t="s">
        <v>686</v>
      </c>
      <c r="R2" s="7">
        <v>1</v>
      </c>
      <c r="S2" s="7" t="s">
        <v>772</v>
      </c>
      <c r="T2" s="7" t="s">
        <v>777</v>
      </c>
      <c r="U2" s="7" t="s">
        <v>771</v>
      </c>
      <c r="V2" s="7" t="s">
        <v>685</v>
      </c>
      <c r="W2" s="7"/>
      <c r="X2" s="7" t="s">
        <v>761</v>
      </c>
    </row>
    <row r="3" spans="1:24" x14ac:dyDescent="0.25">
      <c r="A3" s="32" t="s">
        <v>688</v>
      </c>
      <c r="B3" s="32" t="s">
        <v>863</v>
      </c>
      <c r="C3" s="27" t="s">
        <v>771</v>
      </c>
      <c r="D3" s="27">
        <v>31100</v>
      </c>
      <c r="E3" s="27" t="s">
        <v>686</v>
      </c>
      <c r="F3" s="27">
        <v>1</v>
      </c>
      <c r="G3" s="27" t="s">
        <v>686</v>
      </c>
      <c r="H3" s="27">
        <v>1</v>
      </c>
      <c r="I3" s="27" t="s">
        <v>686</v>
      </c>
      <c r="J3" s="27">
        <v>0</v>
      </c>
      <c r="K3" s="27" t="s">
        <v>686</v>
      </c>
      <c r="L3" s="27" t="s">
        <v>784</v>
      </c>
      <c r="M3" s="27" t="s">
        <v>773</v>
      </c>
      <c r="N3" s="27" t="s">
        <v>776</v>
      </c>
      <c r="O3" s="27" t="s">
        <v>686</v>
      </c>
      <c r="P3" s="27" t="s">
        <v>786</v>
      </c>
      <c r="Q3" s="27" t="s">
        <v>686</v>
      </c>
      <c r="R3" s="27" t="s">
        <v>246</v>
      </c>
      <c r="S3" s="27" t="s">
        <v>772</v>
      </c>
      <c r="T3" s="27" t="s">
        <v>777</v>
      </c>
      <c r="U3" s="27" t="s">
        <v>771</v>
      </c>
      <c r="V3" s="27" t="s">
        <v>685</v>
      </c>
      <c r="W3" s="27"/>
      <c r="X3" s="27" t="s">
        <v>761</v>
      </c>
    </row>
    <row r="4" spans="1:24" x14ac:dyDescent="0.25">
      <c r="A4" s="31" t="s">
        <v>688</v>
      </c>
      <c r="B4" s="31" t="s">
        <v>864</v>
      </c>
      <c r="C4" s="7" t="s">
        <v>771</v>
      </c>
      <c r="D4" s="7">
        <v>31200</v>
      </c>
      <c r="E4" s="7" t="s">
        <v>686</v>
      </c>
      <c r="F4" s="7">
        <v>1</v>
      </c>
      <c r="G4" s="7" t="s">
        <v>686</v>
      </c>
      <c r="H4" s="7">
        <v>10</v>
      </c>
      <c r="I4" s="7" t="s">
        <v>686</v>
      </c>
      <c r="J4" s="7">
        <v>0</v>
      </c>
      <c r="K4" s="7" t="s">
        <v>686</v>
      </c>
      <c r="L4" s="7" t="s">
        <v>784</v>
      </c>
      <c r="M4" s="7" t="s">
        <v>774</v>
      </c>
      <c r="N4" s="7" t="s">
        <v>776</v>
      </c>
      <c r="O4" s="7" t="s">
        <v>686</v>
      </c>
      <c r="P4" s="7" t="s">
        <v>786</v>
      </c>
      <c r="Q4" s="7" t="s">
        <v>686</v>
      </c>
      <c r="R4" s="7">
        <v>1</v>
      </c>
      <c r="S4" s="7" t="s">
        <v>772</v>
      </c>
      <c r="T4" s="7" t="s">
        <v>777</v>
      </c>
      <c r="U4" s="7" t="s">
        <v>771</v>
      </c>
      <c r="V4" s="7" t="s">
        <v>685</v>
      </c>
      <c r="W4" s="7"/>
      <c r="X4" s="7" t="s">
        <v>761</v>
      </c>
    </row>
    <row r="5" spans="1:24" x14ac:dyDescent="0.25">
      <c r="A5" s="32" t="s">
        <v>688</v>
      </c>
      <c r="B5" s="32" t="s">
        <v>865</v>
      </c>
      <c r="C5" s="27" t="s">
        <v>771</v>
      </c>
      <c r="D5" s="27">
        <v>32100</v>
      </c>
      <c r="E5" s="27" t="s">
        <v>686</v>
      </c>
      <c r="F5" s="27">
        <v>6</v>
      </c>
      <c r="G5" s="27" t="s">
        <v>686</v>
      </c>
      <c r="H5" s="27">
        <v>1</v>
      </c>
      <c r="I5" s="27" t="s">
        <v>686</v>
      </c>
      <c r="J5" s="27">
        <v>0</v>
      </c>
      <c r="K5" s="27" t="s">
        <v>686</v>
      </c>
      <c r="L5" s="27" t="s">
        <v>784</v>
      </c>
      <c r="M5" s="27" t="s">
        <v>773</v>
      </c>
      <c r="N5" s="27" t="s">
        <v>776</v>
      </c>
      <c r="O5" s="27" t="s">
        <v>686</v>
      </c>
      <c r="P5" s="27" t="s">
        <v>786</v>
      </c>
      <c r="Q5" s="27" t="s">
        <v>686</v>
      </c>
      <c r="R5" s="27" t="s">
        <v>246</v>
      </c>
      <c r="S5" s="27" t="s">
        <v>772</v>
      </c>
      <c r="T5" s="27" t="s">
        <v>767</v>
      </c>
      <c r="U5" s="27" t="s">
        <v>771</v>
      </c>
      <c r="V5" s="27" t="s">
        <v>685</v>
      </c>
      <c r="W5" s="27"/>
      <c r="X5" s="27" t="s">
        <v>761</v>
      </c>
    </row>
    <row r="6" spans="1:24" x14ac:dyDescent="0.25">
      <c r="A6" s="32" t="s">
        <v>688</v>
      </c>
      <c r="B6" s="32" t="s">
        <v>866</v>
      </c>
      <c r="C6" s="27" t="s">
        <v>771</v>
      </c>
      <c r="D6" s="27">
        <v>32101</v>
      </c>
      <c r="E6" s="27" t="s">
        <v>686</v>
      </c>
      <c r="F6" s="27">
        <v>0</v>
      </c>
      <c r="G6" s="27" t="s">
        <v>686</v>
      </c>
      <c r="H6" s="27">
        <v>1</v>
      </c>
      <c r="I6" s="27" t="s">
        <v>686</v>
      </c>
      <c r="J6" s="27">
        <v>1</v>
      </c>
      <c r="K6" s="27" t="s">
        <v>686</v>
      </c>
      <c r="L6" s="27" t="s">
        <v>784</v>
      </c>
      <c r="M6" s="27" t="s">
        <v>775</v>
      </c>
      <c r="N6" s="27" t="s">
        <v>776</v>
      </c>
      <c r="O6" s="27" t="s">
        <v>686</v>
      </c>
      <c r="P6" s="27" t="s">
        <v>786</v>
      </c>
      <c r="Q6" s="27" t="s">
        <v>686</v>
      </c>
      <c r="R6" s="27" t="s">
        <v>246</v>
      </c>
      <c r="S6" s="27" t="s">
        <v>772</v>
      </c>
      <c r="T6" s="27" t="s">
        <v>768</v>
      </c>
      <c r="U6" s="27" t="s">
        <v>771</v>
      </c>
      <c r="V6" s="27" t="s">
        <v>685</v>
      </c>
      <c r="W6" s="27"/>
      <c r="X6" s="27" t="s">
        <v>761</v>
      </c>
    </row>
    <row r="7" spans="1:24" x14ac:dyDescent="0.25">
      <c r="A7" s="32" t="s">
        <v>688</v>
      </c>
      <c r="B7" s="32" t="s">
        <v>867</v>
      </c>
      <c r="C7" s="27" t="s">
        <v>771</v>
      </c>
      <c r="D7" s="27">
        <v>32102</v>
      </c>
      <c r="E7" s="27" t="s">
        <v>686</v>
      </c>
      <c r="F7" s="27">
        <v>0</v>
      </c>
      <c r="G7" s="27" t="s">
        <v>686</v>
      </c>
      <c r="H7" s="27">
        <v>2</v>
      </c>
      <c r="I7" s="27" t="s">
        <v>686</v>
      </c>
      <c r="J7" s="27">
        <v>2</v>
      </c>
      <c r="K7" s="27" t="s">
        <v>686</v>
      </c>
      <c r="L7" s="27" t="s">
        <v>784</v>
      </c>
      <c r="M7" s="27" t="s">
        <v>775</v>
      </c>
      <c r="N7" s="27" t="s">
        <v>776</v>
      </c>
      <c r="O7" s="27" t="s">
        <v>686</v>
      </c>
      <c r="P7" s="27" t="s">
        <v>786</v>
      </c>
      <c r="Q7" s="27" t="s">
        <v>686</v>
      </c>
      <c r="R7" s="27">
        <v>1</v>
      </c>
      <c r="S7" s="27" t="s">
        <v>772</v>
      </c>
      <c r="T7" s="27" t="s">
        <v>765</v>
      </c>
      <c r="U7" s="27" t="s">
        <v>771</v>
      </c>
      <c r="V7" s="27" t="s">
        <v>685</v>
      </c>
      <c r="W7" s="27" t="s">
        <v>906</v>
      </c>
      <c r="X7" s="27" t="s">
        <v>761</v>
      </c>
    </row>
    <row r="8" spans="1:24" x14ac:dyDescent="0.25">
      <c r="A8" s="32" t="s">
        <v>688</v>
      </c>
      <c r="B8" s="32" t="s">
        <v>868</v>
      </c>
      <c r="C8" s="27" t="s">
        <v>771</v>
      </c>
      <c r="D8" s="27">
        <v>32104</v>
      </c>
      <c r="E8" s="27" t="s">
        <v>686</v>
      </c>
      <c r="F8" s="27">
        <v>0</v>
      </c>
      <c r="G8" s="27" t="s">
        <v>686</v>
      </c>
      <c r="H8" s="27">
        <v>1</v>
      </c>
      <c r="I8" s="27" t="s">
        <v>686</v>
      </c>
      <c r="J8" s="27">
        <v>4</v>
      </c>
      <c r="K8" s="27" t="s">
        <v>686</v>
      </c>
      <c r="L8" s="27" t="s">
        <v>784</v>
      </c>
      <c r="M8" s="27" t="s">
        <v>773</v>
      </c>
      <c r="N8" s="27" t="s">
        <v>776</v>
      </c>
      <c r="O8" s="27" t="s">
        <v>686</v>
      </c>
      <c r="P8" s="27" t="s">
        <v>786</v>
      </c>
      <c r="Q8" s="27" t="s">
        <v>686</v>
      </c>
      <c r="R8" s="27" t="s">
        <v>770</v>
      </c>
      <c r="S8" s="27" t="s">
        <v>772</v>
      </c>
      <c r="T8" s="27" t="s">
        <v>766</v>
      </c>
      <c r="U8" s="27" t="s">
        <v>771</v>
      </c>
      <c r="V8" s="27" t="s">
        <v>685</v>
      </c>
      <c r="W8" s="27"/>
      <c r="X8" s="27" t="s">
        <v>761</v>
      </c>
    </row>
    <row r="9" spans="1:24" x14ac:dyDescent="0.25">
      <c r="A9" s="32" t="s">
        <v>688</v>
      </c>
      <c r="B9" s="32" t="s">
        <v>869</v>
      </c>
      <c r="C9" s="27" t="s">
        <v>771</v>
      </c>
      <c r="D9" s="27">
        <v>32105</v>
      </c>
      <c r="E9" s="27" t="s">
        <v>686</v>
      </c>
      <c r="F9" s="27">
        <v>0</v>
      </c>
      <c r="G9" s="27" t="s">
        <v>686</v>
      </c>
      <c r="H9" s="27">
        <v>1</v>
      </c>
      <c r="I9" s="27" t="s">
        <v>686</v>
      </c>
      <c r="J9" s="27">
        <v>5</v>
      </c>
      <c r="K9" s="27" t="s">
        <v>686</v>
      </c>
      <c r="L9" s="27" t="s">
        <v>784</v>
      </c>
      <c r="M9" s="27" t="s">
        <v>773</v>
      </c>
      <c r="N9" s="27" t="s">
        <v>776</v>
      </c>
      <c r="O9" s="27" t="s">
        <v>686</v>
      </c>
      <c r="P9" s="27" t="s">
        <v>786</v>
      </c>
      <c r="Q9" s="27" t="s">
        <v>686</v>
      </c>
      <c r="R9" s="27">
        <v>0.01</v>
      </c>
      <c r="S9" s="27" t="s">
        <v>772</v>
      </c>
      <c r="T9" s="27" t="s">
        <v>21</v>
      </c>
      <c r="U9" s="27" t="s">
        <v>771</v>
      </c>
      <c r="V9" s="27" t="s">
        <v>685</v>
      </c>
      <c r="W9" s="27"/>
      <c r="X9" s="27" t="s">
        <v>761</v>
      </c>
    </row>
    <row r="10" spans="1:24" x14ac:dyDescent="0.25">
      <c r="A10" s="31" t="s">
        <v>688</v>
      </c>
      <c r="B10" s="31" t="s">
        <v>870</v>
      </c>
      <c r="C10" s="7" t="s">
        <v>771</v>
      </c>
      <c r="D10" s="7">
        <v>32200</v>
      </c>
      <c r="E10" s="7" t="s">
        <v>686</v>
      </c>
      <c r="F10" s="7">
        <v>5</v>
      </c>
      <c r="G10" s="7" t="s">
        <v>686</v>
      </c>
      <c r="H10" s="7">
        <v>1</v>
      </c>
      <c r="I10" s="7" t="s">
        <v>686</v>
      </c>
      <c r="J10" s="7">
        <v>0</v>
      </c>
      <c r="K10" s="7" t="s">
        <v>686</v>
      </c>
      <c r="L10" s="7" t="s">
        <v>784</v>
      </c>
      <c r="M10" s="7" t="s">
        <v>773</v>
      </c>
      <c r="N10" s="7" t="s">
        <v>776</v>
      </c>
      <c r="O10" s="7" t="s">
        <v>686</v>
      </c>
      <c r="P10" s="7" t="s">
        <v>786</v>
      </c>
      <c r="Q10" s="7" t="s">
        <v>686</v>
      </c>
      <c r="R10" s="7" t="s">
        <v>770</v>
      </c>
      <c r="S10" s="7" t="s">
        <v>772</v>
      </c>
      <c r="T10" s="7" t="s">
        <v>767</v>
      </c>
      <c r="U10" s="7" t="s">
        <v>771</v>
      </c>
      <c r="V10" s="7" t="s">
        <v>685</v>
      </c>
      <c r="W10" s="7"/>
      <c r="X10" s="7" t="s">
        <v>761</v>
      </c>
    </row>
    <row r="11" spans="1:24" x14ac:dyDescent="0.25">
      <c r="A11" s="31" t="s">
        <v>688</v>
      </c>
      <c r="B11" s="31" t="s">
        <v>871</v>
      </c>
      <c r="C11" s="7" t="s">
        <v>771</v>
      </c>
      <c r="D11" s="7">
        <v>32201</v>
      </c>
      <c r="E11" s="7" t="s">
        <v>686</v>
      </c>
      <c r="F11" s="7">
        <v>0</v>
      </c>
      <c r="G11" s="7" t="s">
        <v>686</v>
      </c>
      <c r="H11" s="7">
        <v>1</v>
      </c>
      <c r="I11" s="7" t="s">
        <v>686</v>
      </c>
      <c r="J11" s="7">
        <v>1</v>
      </c>
      <c r="K11" s="7" t="s">
        <v>686</v>
      </c>
      <c r="L11" s="7" t="s">
        <v>784</v>
      </c>
      <c r="M11" s="7" t="s">
        <v>773</v>
      </c>
      <c r="N11" s="7" t="s">
        <v>776</v>
      </c>
      <c r="O11" s="7" t="s">
        <v>686</v>
      </c>
      <c r="P11" s="7" t="s">
        <v>786</v>
      </c>
      <c r="Q11" s="7" t="s">
        <v>686</v>
      </c>
      <c r="R11" s="7" t="s">
        <v>246</v>
      </c>
      <c r="S11" s="7" t="s">
        <v>772</v>
      </c>
      <c r="T11" s="7" t="s">
        <v>768</v>
      </c>
      <c r="U11" s="7" t="s">
        <v>771</v>
      </c>
      <c r="V11" s="7" t="s">
        <v>685</v>
      </c>
      <c r="W11" s="7"/>
      <c r="X11" s="7" t="s">
        <v>761</v>
      </c>
    </row>
    <row r="12" spans="1:24" x14ac:dyDescent="0.25">
      <c r="A12" s="31" t="s">
        <v>688</v>
      </c>
      <c r="B12" s="31" t="s">
        <v>872</v>
      </c>
      <c r="C12" s="7" t="s">
        <v>771</v>
      </c>
      <c r="D12" s="7">
        <v>32202</v>
      </c>
      <c r="E12" s="7" t="s">
        <v>686</v>
      </c>
      <c r="F12" s="7">
        <v>0</v>
      </c>
      <c r="G12" s="7" t="s">
        <v>686</v>
      </c>
      <c r="H12" s="7">
        <v>2</v>
      </c>
      <c r="I12" s="7" t="s">
        <v>686</v>
      </c>
      <c r="J12" s="7">
        <v>2</v>
      </c>
      <c r="K12" s="7" t="s">
        <v>686</v>
      </c>
      <c r="L12" s="7" t="s">
        <v>784</v>
      </c>
      <c r="M12" s="7" t="s">
        <v>775</v>
      </c>
      <c r="N12" s="7" t="s">
        <v>776</v>
      </c>
      <c r="O12" s="7" t="s">
        <v>686</v>
      </c>
      <c r="P12" s="7" t="s">
        <v>786</v>
      </c>
      <c r="Q12" s="7" t="s">
        <v>686</v>
      </c>
      <c r="R12" s="7">
        <v>1</v>
      </c>
      <c r="S12" s="7" t="s">
        <v>772</v>
      </c>
      <c r="T12" s="7" t="s">
        <v>765</v>
      </c>
      <c r="U12" s="7" t="s">
        <v>771</v>
      </c>
      <c r="V12" s="7" t="s">
        <v>685</v>
      </c>
      <c r="W12" s="7" t="s">
        <v>907</v>
      </c>
      <c r="X12" s="7" t="s">
        <v>761</v>
      </c>
    </row>
    <row r="13" spans="1:24" x14ac:dyDescent="0.25">
      <c r="A13" s="31" t="s">
        <v>688</v>
      </c>
      <c r="B13" s="31" t="s">
        <v>873</v>
      </c>
      <c r="C13" s="7" t="s">
        <v>771</v>
      </c>
      <c r="D13" s="7">
        <v>32204</v>
      </c>
      <c r="E13" s="7" t="s">
        <v>686</v>
      </c>
      <c r="F13" s="7">
        <v>0</v>
      </c>
      <c r="G13" s="7" t="s">
        <v>686</v>
      </c>
      <c r="H13" s="7">
        <v>1</v>
      </c>
      <c r="I13" s="7" t="s">
        <v>686</v>
      </c>
      <c r="J13" s="7">
        <v>4</v>
      </c>
      <c r="K13" s="7" t="s">
        <v>686</v>
      </c>
      <c r="L13" s="7" t="s">
        <v>784</v>
      </c>
      <c r="M13" s="7" t="s">
        <v>773</v>
      </c>
      <c r="N13" s="7" t="s">
        <v>776</v>
      </c>
      <c r="O13" s="7" t="s">
        <v>686</v>
      </c>
      <c r="P13" s="7" t="s">
        <v>786</v>
      </c>
      <c r="Q13" s="7" t="s">
        <v>686</v>
      </c>
      <c r="R13" s="7" t="s">
        <v>246</v>
      </c>
      <c r="S13" s="7" t="s">
        <v>772</v>
      </c>
      <c r="T13" s="7" t="s">
        <v>769</v>
      </c>
      <c r="U13" s="7" t="s">
        <v>771</v>
      </c>
      <c r="V13" s="7" t="s">
        <v>685</v>
      </c>
      <c r="W13" s="7"/>
      <c r="X13" s="7" t="s">
        <v>761</v>
      </c>
    </row>
    <row r="14" spans="1:24" x14ac:dyDescent="0.25">
      <c r="A14" s="32" t="s">
        <v>688</v>
      </c>
      <c r="B14" s="32" t="s">
        <v>874</v>
      </c>
      <c r="C14" s="27" t="s">
        <v>771</v>
      </c>
      <c r="D14" s="27">
        <v>32300</v>
      </c>
      <c r="E14" s="27" t="s">
        <v>686</v>
      </c>
      <c r="F14" s="27">
        <v>4</v>
      </c>
      <c r="G14" s="27" t="s">
        <v>686</v>
      </c>
      <c r="H14" s="27">
        <v>1</v>
      </c>
      <c r="I14" s="27" t="s">
        <v>686</v>
      </c>
      <c r="J14" s="27">
        <v>0</v>
      </c>
      <c r="K14" s="27" t="s">
        <v>686</v>
      </c>
      <c r="L14" s="27" t="s">
        <v>784</v>
      </c>
      <c r="M14" s="27" t="s">
        <v>773</v>
      </c>
      <c r="N14" s="27" t="s">
        <v>776</v>
      </c>
      <c r="O14" s="27" t="s">
        <v>686</v>
      </c>
      <c r="P14" s="27" t="s">
        <v>786</v>
      </c>
      <c r="Q14" s="27" t="s">
        <v>686</v>
      </c>
      <c r="R14" s="27" t="s">
        <v>770</v>
      </c>
      <c r="S14" s="27" t="s">
        <v>772</v>
      </c>
      <c r="T14" s="27" t="s">
        <v>767</v>
      </c>
      <c r="U14" s="27" t="s">
        <v>771</v>
      </c>
      <c r="V14" s="27" t="s">
        <v>685</v>
      </c>
      <c r="W14" s="27"/>
      <c r="X14" s="27" t="s">
        <v>761</v>
      </c>
    </row>
    <row r="15" spans="1:24" x14ac:dyDescent="0.25">
      <c r="A15" s="32" t="s">
        <v>688</v>
      </c>
      <c r="B15" s="32" t="s">
        <v>875</v>
      </c>
      <c r="C15" s="27" t="s">
        <v>771</v>
      </c>
      <c r="D15" s="27">
        <v>32301</v>
      </c>
      <c r="E15" s="27" t="s">
        <v>686</v>
      </c>
      <c r="F15" s="27">
        <v>0</v>
      </c>
      <c r="G15" s="27" t="s">
        <v>686</v>
      </c>
      <c r="H15" s="27">
        <v>1</v>
      </c>
      <c r="I15" s="27" t="s">
        <v>686</v>
      </c>
      <c r="J15" s="27">
        <v>1</v>
      </c>
      <c r="K15" s="27" t="s">
        <v>686</v>
      </c>
      <c r="L15" s="27" t="s">
        <v>784</v>
      </c>
      <c r="M15" s="27" t="s">
        <v>773</v>
      </c>
      <c r="N15" s="27" t="s">
        <v>776</v>
      </c>
      <c r="O15" s="27" t="s">
        <v>686</v>
      </c>
      <c r="P15" s="27" t="s">
        <v>786</v>
      </c>
      <c r="Q15" s="27" t="s">
        <v>686</v>
      </c>
      <c r="R15" s="27" t="s">
        <v>246</v>
      </c>
      <c r="S15" s="27" t="s">
        <v>772</v>
      </c>
      <c r="T15" s="27" t="s">
        <v>768</v>
      </c>
      <c r="U15" s="27" t="s">
        <v>771</v>
      </c>
      <c r="V15" s="27" t="s">
        <v>685</v>
      </c>
      <c r="W15" s="27"/>
      <c r="X15" s="27" t="s">
        <v>761</v>
      </c>
    </row>
    <row r="16" spans="1:24" x14ac:dyDescent="0.25">
      <c r="A16" s="32" t="s">
        <v>688</v>
      </c>
      <c r="B16" s="32" t="s">
        <v>876</v>
      </c>
      <c r="C16" s="27" t="s">
        <v>771</v>
      </c>
      <c r="D16" s="27">
        <v>32302</v>
      </c>
      <c r="E16" s="27" t="s">
        <v>686</v>
      </c>
      <c r="F16" s="27">
        <v>0</v>
      </c>
      <c r="G16" s="27" t="s">
        <v>686</v>
      </c>
      <c r="H16" s="27">
        <v>2</v>
      </c>
      <c r="I16" s="27" t="s">
        <v>686</v>
      </c>
      <c r="J16" s="27">
        <v>2</v>
      </c>
      <c r="K16" s="27" t="s">
        <v>686</v>
      </c>
      <c r="L16" s="27" t="s">
        <v>784</v>
      </c>
      <c r="M16" s="27" t="s">
        <v>775</v>
      </c>
      <c r="N16" s="27" t="s">
        <v>776</v>
      </c>
      <c r="O16" s="27" t="s">
        <v>686</v>
      </c>
      <c r="P16" s="27" t="s">
        <v>786</v>
      </c>
      <c r="Q16" s="27" t="s">
        <v>686</v>
      </c>
      <c r="R16" s="27">
        <v>1</v>
      </c>
      <c r="S16" s="27" t="s">
        <v>772</v>
      </c>
      <c r="T16" s="27" t="s">
        <v>765</v>
      </c>
      <c r="U16" s="27" t="s">
        <v>771</v>
      </c>
      <c r="V16" s="27" t="s">
        <v>685</v>
      </c>
      <c r="W16" s="27" t="s">
        <v>907</v>
      </c>
      <c r="X16" s="27" t="s">
        <v>761</v>
      </c>
    </row>
    <row r="17" spans="1:24" x14ac:dyDescent="0.25">
      <c r="A17" s="31" t="s">
        <v>688</v>
      </c>
      <c r="B17" s="31" t="s">
        <v>877</v>
      </c>
      <c r="C17" s="7" t="s">
        <v>771</v>
      </c>
      <c r="D17" s="7">
        <v>33000</v>
      </c>
      <c r="E17" s="7" t="s">
        <v>686</v>
      </c>
      <c r="F17" s="7">
        <v>12</v>
      </c>
      <c r="G17" s="7" t="s">
        <v>686</v>
      </c>
      <c r="H17" s="7">
        <v>2</v>
      </c>
      <c r="I17" s="7" t="s">
        <v>686</v>
      </c>
      <c r="J17" s="7">
        <v>0</v>
      </c>
      <c r="K17" s="7" t="s">
        <v>686</v>
      </c>
      <c r="L17" s="7" t="s">
        <v>784</v>
      </c>
      <c r="M17" s="7" t="s">
        <v>773</v>
      </c>
      <c r="N17" s="7" t="s">
        <v>776</v>
      </c>
      <c r="O17" s="7" t="s">
        <v>686</v>
      </c>
      <c r="P17" s="7" t="s">
        <v>786</v>
      </c>
      <c r="Q17" s="7" t="s">
        <v>686</v>
      </c>
      <c r="R17" s="7" t="s">
        <v>246</v>
      </c>
      <c r="S17" s="7" t="s">
        <v>772</v>
      </c>
      <c r="T17" s="7" t="s">
        <v>21</v>
      </c>
      <c r="U17" s="7" t="s">
        <v>771</v>
      </c>
      <c r="V17" s="7" t="s">
        <v>685</v>
      </c>
      <c r="W17" s="7"/>
      <c r="X17" s="7" t="s">
        <v>761</v>
      </c>
    </row>
    <row r="18" spans="1:24" x14ac:dyDescent="0.25">
      <c r="A18" s="31" t="s">
        <v>688</v>
      </c>
      <c r="B18" s="31" t="s">
        <v>878</v>
      </c>
      <c r="C18" s="7" t="s">
        <v>771</v>
      </c>
      <c r="D18" s="7">
        <v>33002</v>
      </c>
      <c r="E18" s="7" t="s">
        <v>686</v>
      </c>
      <c r="F18" s="7">
        <v>0</v>
      </c>
      <c r="G18" s="7" t="s">
        <v>686</v>
      </c>
      <c r="H18" s="7">
        <v>2</v>
      </c>
      <c r="I18" s="7" t="s">
        <v>686</v>
      </c>
      <c r="J18" s="7">
        <v>2</v>
      </c>
      <c r="K18" s="7" t="s">
        <v>686</v>
      </c>
      <c r="L18" s="7" t="s">
        <v>784</v>
      </c>
      <c r="M18" s="7" t="s">
        <v>773</v>
      </c>
      <c r="N18" s="7" t="s">
        <v>776</v>
      </c>
      <c r="O18" s="7" t="s">
        <v>686</v>
      </c>
      <c r="P18" s="7" t="s">
        <v>786</v>
      </c>
      <c r="Q18" s="7" t="s">
        <v>686</v>
      </c>
      <c r="R18" s="7" t="s">
        <v>246</v>
      </c>
      <c r="S18" s="7" t="s">
        <v>772</v>
      </c>
      <c r="T18" s="7" t="s">
        <v>21</v>
      </c>
      <c r="U18" s="7" t="s">
        <v>771</v>
      </c>
      <c r="V18" s="7" t="s">
        <v>685</v>
      </c>
      <c r="W18" s="7"/>
      <c r="X18" s="7" t="s">
        <v>761</v>
      </c>
    </row>
    <row r="19" spans="1:24" x14ac:dyDescent="0.25">
      <c r="A19" s="31" t="s">
        <v>688</v>
      </c>
      <c r="B19" s="31" t="s">
        <v>879</v>
      </c>
      <c r="C19" s="7" t="s">
        <v>771</v>
      </c>
      <c r="D19" s="7">
        <v>33004</v>
      </c>
      <c r="E19" s="7" t="s">
        <v>686</v>
      </c>
      <c r="F19" s="7">
        <v>0</v>
      </c>
      <c r="G19" s="7" t="s">
        <v>686</v>
      </c>
      <c r="H19" s="7">
        <v>2</v>
      </c>
      <c r="I19" s="7" t="s">
        <v>686</v>
      </c>
      <c r="J19" s="7">
        <v>4</v>
      </c>
      <c r="K19" s="7" t="s">
        <v>686</v>
      </c>
      <c r="L19" s="7" t="s">
        <v>784</v>
      </c>
      <c r="M19" s="7" t="s">
        <v>773</v>
      </c>
      <c r="N19" s="7" t="s">
        <v>776</v>
      </c>
      <c r="O19" s="7" t="s">
        <v>686</v>
      </c>
      <c r="P19" s="7" t="s">
        <v>786</v>
      </c>
      <c r="Q19" s="7" t="s">
        <v>686</v>
      </c>
      <c r="R19" s="7" t="s">
        <v>246</v>
      </c>
      <c r="S19" s="7" t="s">
        <v>772</v>
      </c>
      <c r="T19" s="7" t="s">
        <v>21</v>
      </c>
      <c r="U19" s="7" t="s">
        <v>771</v>
      </c>
      <c r="V19" s="7" t="s">
        <v>685</v>
      </c>
      <c r="W19" s="7"/>
      <c r="X19" s="7" t="s">
        <v>761</v>
      </c>
    </row>
    <row r="20" spans="1:24" x14ac:dyDescent="0.25">
      <c r="A20" s="31" t="s">
        <v>688</v>
      </c>
      <c r="B20" s="31" t="s">
        <v>880</v>
      </c>
      <c r="C20" s="7" t="s">
        <v>771</v>
      </c>
      <c r="D20" s="7">
        <v>33006</v>
      </c>
      <c r="E20" s="7" t="s">
        <v>686</v>
      </c>
      <c r="F20" s="7">
        <v>0</v>
      </c>
      <c r="G20" s="7" t="s">
        <v>686</v>
      </c>
      <c r="H20" s="7">
        <v>2</v>
      </c>
      <c r="I20" s="7" t="s">
        <v>686</v>
      </c>
      <c r="J20" s="7">
        <v>6</v>
      </c>
      <c r="K20" s="7" t="s">
        <v>686</v>
      </c>
      <c r="L20" s="7" t="s">
        <v>784</v>
      </c>
      <c r="M20" s="7" t="s">
        <v>773</v>
      </c>
      <c r="N20" s="7" t="s">
        <v>776</v>
      </c>
      <c r="O20" s="7" t="s">
        <v>686</v>
      </c>
      <c r="P20" s="7" t="s">
        <v>786</v>
      </c>
      <c r="Q20" s="7" t="s">
        <v>686</v>
      </c>
      <c r="R20" s="7" t="s">
        <v>246</v>
      </c>
      <c r="S20" s="7" t="s">
        <v>772</v>
      </c>
      <c r="T20" s="7" t="s">
        <v>21</v>
      </c>
      <c r="U20" s="7" t="s">
        <v>771</v>
      </c>
      <c r="V20" s="7" t="s">
        <v>685</v>
      </c>
      <c r="W20" s="7"/>
      <c r="X20" s="7" t="s">
        <v>761</v>
      </c>
    </row>
    <row r="21" spans="1:24" x14ac:dyDescent="0.25">
      <c r="A21" s="31" t="s">
        <v>688</v>
      </c>
      <c r="B21" s="31" t="s">
        <v>881</v>
      </c>
      <c r="C21" s="7" t="s">
        <v>771</v>
      </c>
      <c r="D21" s="7">
        <v>33008</v>
      </c>
      <c r="E21" s="7" t="s">
        <v>686</v>
      </c>
      <c r="F21" s="7">
        <v>0</v>
      </c>
      <c r="G21" s="7" t="s">
        <v>686</v>
      </c>
      <c r="H21" s="7">
        <v>2</v>
      </c>
      <c r="I21" s="7" t="s">
        <v>686</v>
      </c>
      <c r="J21" s="7">
        <v>8</v>
      </c>
      <c r="K21" s="7" t="s">
        <v>686</v>
      </c>
      <c r="L21" s="7" t="s">
        <v>784</v>
      </c>
      <c r="M21" s="7" t="s">
        <v>773</v>
      </c>
      <c r="N21" s="7" t="s">
        <v>776</v>
      </c>
      <c r="O21" s="7" t="s">
        <v>686</v>
      </c>
      <c r="P21" s="7" t="s">
        <v>786</v>
      </c>
      <c r="Q21" s="7" t="s">
        <v>686</v>
      </c>
      <c r="R21" s="7" t="s">
        <v>246</v>
      </c>
      <c r="S21" s="7" t="s">
        <v>772</v>
      </c>
      <c r="T21" s="7" t="s">
        <v>21</v>
      </c>
      <c r="U21" s="7" t="s">
        <v>771</v>
      </c>
      <c r="V21" s="7" t="s">
        <v>685</v>
      </c>
      <c r="W21" s="7"/>
      <c r="X21" s="7" t="s">
        <v>761</v>
      </c>
    </row>
    <row r="22" spans="1:24" x14ac:dyDescent="0.25">
      <c r="A22" s="31" t="s">
        <v>688</v>
      </c>
      <c r="B22" s="31" t="s">
        <v>882</v>
      </c>
      <c r="C22" s="7" t="s">
        <v>771</v>
      </c>
      <c r="D22" s="7">
        <v>33010</v>
      </c>
      <c r="E22" s="7" t="s">
        <v>686</v>
      </c>
      <c r="F22" s="7">
        <v>0</v>
      </c>
      <c r="G22" s="7" t="s">
        <v>686</v>
      </c>
      <c r="H22" s="7">
        <v>2</v>
      </c>
      <c r="I22" s="7" t="s">
        <v>686</v>
      </c>
      <c r="J22" s="7">
        <v>10</v>
      </c>
      <c r="K22" s="7" t="s">
        <v>686</v>
      </c>
      <c r="L22" s="7" t="s">
        <v>784</v>
      </c>
      <c r="M22" s="7" t="s">
        <v>773</v>
      </c>
      <c r="N22" s="7" t="s">
        <v>776</v>
      </c>
      <c r="O22" s="7" t="s">
        <v>686</v>
      </c>
      <c r="P22" s="7" t="s">
        <v>786</v>
      </c>
      <c r="Q22" s="7" t="s">
        <v>686</v>
      </c>
      <c r="R22" s="7" t="s">
        <v>246</v>
      </c>
      <c r="S22" s="7" t="s">
        <v>772</v>
      </c>
      <c r="T22" s="7" t="s">
        <v>21</v>
      </c>
      <c r="U22" s="7" t="s">
        <v>771</v>
      </c>
      <c r="V22" s="7" t="s">
        <v>685</v>
      </c>
      <c r="W22" s="7"/>
      <c r="X22" s="7" t="s">
        <v>761</v>
      </c>
    </row>
    <row r="23" spans="1:24" x14ac:dyDescent="0.25">
      <c r="A23" s="32" t="s">
        <v>688</v>
      </c>
      <c r="B23" s="32" t="s">
        <v>883</v>
      </c>
      <c r="C23" s="27" t="s">
        <v>771</v>
      </c>
      <c r="D23" s="27">
        <v>35000</v>
      </c>
      <c r="E23" s="27" t="s">
        <v>686</v>
      </c>
      <c r="F23" s="27">
        <v>3</v>
      </c>
      <c r="G23" s="27" t="s">
        <v>686</v>
      </c>
      <c r="H23" s="27">
        <v>1</v>
      </c>
      <c r="I23" s="27" t="s">
        <v>686</v>
      </c>
      <c r="J23" s="27">
        <v>0</v>
      </c>
      <c r="K23" s="27" t="s">
        <v>686</v>
      </c>
      <c r="L23" s="27" t="s">
        <v>784</v>
      </c>
      <c r="M23" s="27" t="s">
        <v>773</v>
      </c>
      <c r="N23" s="27" t="s">
        <v>776</v>
      </c>
      <c r="O23" s="27" t="s">
        <v>686</v>
      </c>
      <c r="P23" s="27" t="s">
        <v>786</v>
      </c>
      <c r="Q23" s="27" t="s">
        <v>686</v>
      </c>
      <c r="R23" s="27" t="s">
        <v>770</v>
      </c>
      <c r="S23" s="27" t="s">
        <v>772</v>
      </c>
      <c r="T23" s="27" t="s">
        <v>762</v>
      </c>
      <c r="U23" s="27" t="s">
        <v>771</v>
      </c>
      <c r="V23" s="27" t="s">
        <v>685</v>
      </c>
      <c r="W23" s="27"/>
      <c r="X23" s="27" t="s">
        <v>761</v>
      </c>
    </row>
    <row r="24" spans="1:24" x14ac:dyDescent="0.25">
      <c r="A24" s="32" t="s">
        <v>688</v>
      </c>
      <c r="B24" s="32" t="s">
        <v>884</v>
      </c>
      <c r="C24" s="27" t="s">
        <v>771</v>
      </c>
      <c r="D24" s="27">
        <v>35001</v>
      </c>
      <c r="E24" s="27" t="s">
        <v>686</v>
      </c>
      <c r="F24" s="27">
        <v>0</v>
      </c>
      <c r="G24" s="27" t="s">
        <v>686</v>
      </c>
      <c r="H24" s="27">
        <v>1</v>
      </c>
      <c r="I24" s="27" t="s">
        <v>686</v>
      </c>
      <c r="J24" s="27">
        <v>1</v>
      </c>
      <c r="K24" s="27" t="s">
        <v>686</v>
      </c>
      <c r="L24" s="27" t="s">
        <v>784</v>
      </c>
      <c r="M24" s="27" t="s">
        <v>773</v>
      </c>
      <c r="N24" s="27" t="s">
        <v>776</v>
      </c>
      <c r="O24" s="27" t="s">
        <v>686</v>
      </c>
      <c r="P24" s="27" t="s">
        <v>786</v>
      </c>
      <c r="Q24" s="27" t="s">
        <v>686</v>
      </c>
      <c r="R24" s="27" t="s">
        <v>770</v>
      </c>
      <c r="S24" s="27" t="s">
        <v>772</v>
      </c>
      <c r="T24" s="27" t="s">
        <v>762</v>
      </c>
      <c r="U24" s="27" t="s">
        <v>771</v>
      </c>
      <c r="V24" s="27" t="s">
        <v>685</v>
      </c>
      <c r="W24" s="27"/>
      <c r="X24" s="27" t="s">
        <v>761</v>
      </c>
    </row>
    <row r="25" spans="1:24" x14ac:dyDescent="0.25">
      <c r="A25" s="32" t="s">
        <v>688</v>
      </c>
      <c r="B25" s="32" t="s">
        <v>885</v>
      </c>
      <c r="C25" s="27" t="s">
        <v>771</v>
      </c>
      <c r="D25" s="27">
        <v>35002</v>
      </c>
      <c r="E25" s="27" t="s">
        <v>686</v>
      </c>
      <c r="F25" s="27">
        <v>0</v>
      </c>
      <c r="G25" s="27" t="s">
        <v>686</v>
      </c>
      <c r="H25" s="27">
        <v>1</v>
      </c>
      <c r="I25" s="27" t="s">
        <v>686</v>
      </c>
      <c r="J25" s="27">
        <v>2</v>
      </c>
      <c r="K25" s="27" t="s">
        <v>686</v>
      </c>
      <c r="L25" s="27" t="s">
        <v>784</v>
      </c>
      <c r="M25" s="27" t="s">
        <v>773</v>
      </c>
      <c r="N25" s="27" t="s">
        <v>776</v>
      </c>
      <c r="O25" s="27" t="s">
        <v>686</v>
      </c>
      <c r="P25" s="27" t="s">
        <v>786</v>
      </c>
      <c r="Q25" s="27" t="s">
        <v>686</v>
      </c>
      <c r="R25" s="27" t="s">
        <v>770</v>
      </c>
      <c r="S25" s="27" t="s">
        <v>772</v>
      </c>
      <c r="T25" s="27" t="s">
        <v>762</v>
      </c>
      <c r="U25" s="27" t="s">
        <v>771</v>
      </c>
      <c r="V25" s="27" t="s">
        <v>685</v>
      </c>
      <c r="W25" s="27"/>
      <c r="X25" s="27" t="s">
        <v>761</v>
      </c>
    </row>
    <row r="26" spans="1:24" x14ac:dyDescent="0.25">
      <c r="A26" s="31" t="s">
        <v>688</v>
      </c>
      <c r="B26" s="31" t="s">
        <v>886</v>
      </c>
      <c r="C26" s="7" t="s">
        <v>771</v>
      </c>
      <c r="D26" s="7">
        <v>35010</v>
      </c>
      <c r="E26" s="7" t="s">
        <v>686</v>
      </c>
      <c r="F26" s="7">
        <v>2</v>
      </c>
      <c r="G26" s="7" t="s">
        <v>686</v>
      </c>
      <c r="H26" s="7">
        <v>1</v>
      </c>
      <c r="I26" s="7" t="s">
        <v>686</v>
      </c>
      <c r="J26" s="7">
        <v>0</v>
      </c>
      <c r="K26" s="7" t="s">
        <v>686</v>
      </c>
      <c r="L26" s="7" t="s">
        <v>784</v>
      </c>
      <c r="M26" s="7" t="s">
        <v>773</v>
      </c>
      <c r="N26" s="7" t="s">
        <v>776</v>
      </c>
      <c r="O26" s="7" t="s">
        <v>686</v>
      </c>
      <c r="P26" s="7" t="s">
        <v>786</v>
      </c>
      <c r="Q26" s="7" t="s">
        <v>686</v>
      </c>
      <c r="R26" s="7" t="s">
        <v>770</v>
      </c>
      <c r="S26" s="7" t="s">
        <v>772</v>
      </c>
      <c r="T26" s="7" t="s">
        <v>762</v>
      </c>
      <c r="U26" s="7" t="s">
        <v>771</v>
      </c>
      <c r="V26" s="7" t="s">
        <v>685</v>
      </c>
      <c r="W26" s="7"/>
      <c r="X26" s="7" t="s">
        <v>761</v>
      </c>
    </row>
    <row r="27" spans="1:24" x14ac:dyDescent="0.25">
      <c r="A27" s="31" t="s">
        <v>688</v>
      </c>
      <c r="B27" s="31" t="s">
        <v>887</v>
      </c>
      <c r="C27" s="7" t="s">
        <v>771</v>
      </c>
      <c r="D27" s="7">
        <v>35011</v>
      </c>
      <c r="E27" s="7" t="s">
        <v>686</v>
      </c>
      <c r="F27" s="7">
        <v>0</v>
      </c>
      <c r="G27" s="7" t="s">
        <v>686</v>
      </c>
      <c r="H27" s="7">
        <v>1</v>
      </c>
      <c r="I27" s="7" t="s">
        <v>686</v>
      </c>
      <c r="J27" s="7">
        <v>1</v>
      </c>
      <c r="K27" s="7" t="s">
        <v>686</v>
      </c>
      <c r="L27" s="7" t="s">
        <v>784</v>
      </c>
      <c r="M27" s="7" t="s">
        <v>773</v>
      </c>
      <c r="N27" s="7" t="s">
        <v>776</v>
      </c>
      <c r="O27" s="7" t="s">
        <v>686</v>
      </c>
      <c r="P27" s="7" t="s">
        <v>786</v>
      </c>
      <c r="Q27" s="7" t="s">
        <v>686</v>
      </c>
      <c r="R27" s="7" t="s">
        <v>770</v>
      </c>
      <c r="S27" s="7" t="s">
        <v>772</v>
      </c>
      <c r="T27" s="7" t="s">
        <v>762</v>
      </c>
      <c r="U27" s="7" t="s">
        <v>771</v>
      </c>
      <c r="V27" s="7" t="s">
        <v>685</v>
      </c>
      <c r="W27" s="7"/>
      <c r="X27" s="7" t="s">
        <v>761</v>
      </c>
    </row>
    <row r="28" spans="1:24" x14ac:dyDescent="0.25">
      <c r="A28" s="32" t="s">
        <v>688</v>
      </c>
      <c r="B28" s="32" t="s">
        <v>888</v>
      </c>
      <c r="C28" s="27" t="s">
        <v>771</v>
      </c>
      <c r="D28" s="27">
        <v>35100</v>
      </c>
      <c r="E28" s="27" t="s">
        <v>686</v>
      </c>
      <c r="F28" s="27">
        <v>1</v>
      </c>
      <c r="G28" s="27" t="s">
        <v>686</v>
      </c>
      <c r="H28" s="27">
        <v>1</v>
      </c>
      <c r="I28" s="27" t="s">
        <v>686</v>
      </c>
      <c r="J28" s="27">
        <v>0</v>
      </c>
      <c r="K28" s="27" t="s">
        <v>686</v>
      </c>
      <c r="L28" s="27" t="s">
        <v>784</v>
      </c>
      <c r="M28" s="27" t="s">
        <v>773</v>
      </c>
      <c r="N28" s="27" t="s">
        <v>776</v>
      </c>
      <c r="O28" s="27" t="s">
        <v>686</v>
      </c>
      <c r="P28" s="27" t="s">
        <v>786</v>
      </c>
      <c r="Q28" s="27" t="s">
        <v>686</v>
      </c>
      <c r="R28" s="27">
        <v>1</v>
      </c>
      <c r="S28" s="27" t="s">
        <v>772</v>
      </c>
      <c r="T28" s="27" t="s">
        <v>777</v>
      </c>
      <c r="U28" s="27" t="s">
        <v>771</v>
      </c>
      <c r="V28" s="27" t="s">
        <v>685</v>
      </c>
      <c r="W28" s="27"/>
      <c r="X28" s="27" t="s">
        <v>761</v>
      </c>
    </row>
    <row r="29" spans="1:24" x14ac:dyDescent="0.25">
      <c r="A29" s="31" t="s">
        <v>688</v>
      </c>
      <c r="B29" s="31" t="s">
        <v>889</v>
      </c>
      <c r="C29" s="7" t="s">
        <v>771</v>
      </c>
      <c r="D29" s="7">
        <v>35110</v>
      </c>
      <c r="E29" s="7" t="s">
        <v>686</v>
      </c>
      <c r="F29" s="7">
        <v>3</v>
      </c>
      <c r="G29" s="7" t="s">
        <v>686</v>
      </c>
      <c r="H29" s="7">
        <v>1</v>
      </c>
      <c r="I29" s="7" t="s">
        <v>686</v>
      </c>
      <c r="J29" s="7">
        <v>0</v>
      </c>
      <c r="K29" s="7" t="s">
        <v>686</v>
      </c>
      <c r="L29" s="7" t="s">
        <v>784</v>
      </c>
      <c r="M29" s="7" t="s">
        <v>773</v>
      </c>
      <c r="N29" s="7" t="s">
        <v>776</v>
      </c>
      <c r="O29" s="7" t="s">
        <v>686</v>
      </c>
      <c r="P29" s="7" t="s">
        <v>786</v>
      </c>
      <c r="Q29" s="7" t="s">
        <v>686</v>
      </c>
      <c r="R29" s="7">
        <v>100</v>
      </c>
      <c r="S29" s="7" t="s">
        <v>772</v>
      </c>
      <c r="T29" s="7" t="s">
        <v>763</v>
      </c>
      <c r="U29" s="7" t="s">
        <v>771</v>
      </c>
      <c r="V29" s="7" t="s">
        <v>685</v>
      </c>
      <c r="W29" s="7"/>
      <c r="X29" s="7" t="s">
        <v>761</v>
      </c>
    </row>
    <row r="30" spans="1:24" x14ac:dyDescent="0.25">
      <c r="A30" s="31" t="s">
        <v>688</v>
      </c>
      <c r="B30" s="31" t="s">
        <v>890</v>
      </c>
      <c r="C30" s="7" t="s">
        <v>771</v>
      </c>
      <c r="D30" s="7">
        <v>35111</v>
      </c>
      <c r="E30" s="7" t="s">
        <v>686</v>
      </c>
      <c r="F30" s="7">
        <v>0</v>
      </c>
      <c r="G30" s="7" t="s">
        <v>686</v>
      </c>
      <c r="H30" s="7">
        <v>1</v>
      </c>
      <c r="I30" s="7" t="s">
        <v>686</v>
      </c>
      <c r="J30" s="7">
        <v>1</v>
      </c>
      <c r="K30" s="7" t="s">
        <v>686</v>
      </c>
      <c r="L30" s="7" t="s">
        <v>784</v>
      </c>
      <c r="M30" s="7" t="s">
        <v>773</v>
      </c>
      <c r="N30" s="7" t="s">
        <v>776</v>
      </c>
      <c r="O30" s="7" t="s">
        <v>686</v>
      </c>
      <c r="P30" s="7" t="s">
        <v>786</v>
      </c>
      <c r="Q30" s="7" t="s">
        <v>686</v>
      </c>
      <c r="R30" s="7">
        <v>100</v>
      </c>
      <c r="S30" s="7" t="s">
        <v>772</v>
      </c>
      <c r="T30" s="7" t="s">
        <v>764</v>
      </c>
      <c r="U30" s="7" t="s">
        <v>771</v>
      </c>
      <c r="V30" s="7" t="s">
        <v>685</v>
      </c>
      <c r="W30" s="7"/>
      <c r="X30" s="7" t="s">
        <v>761</v>
      </c>
    </row>
    <row r="31" spans="1:24" x14ac:dyDescent="0.25">
      <c r="A31" s="31" t="s">
        <v>688</v>
      </c>
      <c r="B31" s="31" t="s">
        <v>891</v>
      </c>
      <c r="C31" s="7" t="s">
        <v>771</v>
      </c>
      <c r="D31" s="7">
        <v>35112</v>
      </c>
      <c r="E31" s="7" t="s">
        <v>686</v>
      </c>
      <c r="F31" s="7">
        <v>0</v>
      </c>
      <c r="G31" s="7" t="s">
        <v>686</v>
      </c>
      <c r="H31" s="7">
        <v>1</v>
      </c>
      <c r="I31" s="7" t="s">
        <v>686</v>
      </c>
      <c r="J31" s="7">
        <v>2</v>
      </c>
      <c r="K31" s="7" t="s">
        <v>686</v>
      </c>
      <c r="L31" s="7" t="s">
        <v>784</v>
      </c>
      <c r="M31" s="7" t="s">
        <v>773</v>
      </c>
      <c r="N31" s="7" t="s">
        <v>776</v>
      </c>
      <c r="O31" s="7" t="s">
        <v>686</v>
      </c>
      <c r="P31" s="7" t="s">
        <v>786</v>
      </c>
      <c r="Q31" s="7" t="s">
        <v>686</v>
      </c>
      <c r="R31" s="7">
        <v>100</v>
      </c>
      <c r="S31" s="7" t="s">
        <v>772</v>
      </c>
      <c r="T31" s="7" t="s">
        <v>764</v>
      </c>
      <c r="U31" s="7" t="s">
        <v>771</v>
      </c>
      <c r="V31" s="7" t="s">
        <v>685</v>
      </c>
      <c r="W31" s="7"/>
      <c r="X31" s="7" t="s">
        <v>761</v>
      </c>
    </row>
    <row r="32" spans="1:24" x14ac:dyDescent="0.25">
      <c r="A32" s="32" t="s">
        <v>688</v>
      </c>
      <c r="B32" s="32" t="s">
        <v>892</v>
      </c>
      <c r="C32" s="27" t="s">
        <v>771</v>
      </c>
      <c r="D32" s="27">
        <v>36000</v>
      </c>
      <c r="E32" s="27" t="s">
        <v>686</v>
      </c>
      <c r="F32" s="27">
        <v>1</v>
      </c>
      <c r="G32" s="27" t="s">
        <v>686</v>
      </c>
      <c r="H32" s="27">
        <v>1</v>
      </c>
      <c r="I32" s="27" t="s">
        <v>686</v>
      </c>
      <c r="J32" s="27">
        <v>0</v>
      </c>
      <c r="K32" s="27" t="s">
        <v>686</v>
      </c>
      <c r="L32" s="27" t="s">
        <v>784</v>
      </c>
      <c r="M32" s="27" t="s">
        <v>778</v>
      </c>
      <c r="N32" s="27" t="s">
        <v>776</v>
      </c>
      <c r="O32" s="27" t="s">
        <v>686</v>
      </c>
      <c r="P32" s="27" t="s">
        <v>786</v>
      </c>
      <c r="Q32" s="27" t="s">
        <v>686</v>
      </c>
      <c r="R32" s="27">
        <v>1</v>
      </c>
      <c r="S32" s="27" t="s">
        <v>772</v>
      </c>
      <c r="T32" s="27" t="s">
        <v>777</v>
      </c>
      <c r="U32" s="27" t="s">
        <v>771</v>
      </c>
      <c r="V32" s="27" t="s">
        <v>685</v>
      </c>
      <c r="W32" s="27"/>
      <c r="X32" s="27" t="s">
        <v>761</v>
      </c>
    </row>
    <row r="33" spans="1:24" x14ac:dyDescent="0.25">
      <c r="A33" s="31" t="s">
        <v>688</v>
      </c>
      <c r="B33" s="31" t="s">
        <v>893</v>
      </c>
      <c r="C33" s="7" t="s">
        <v>771</v>
      </c>
      <c r="D33" s="7">
        <v>36100</v>
      </c>
      <c r="E33" s="7" t="s">
        <v>686</v>
      </c>
      <c r="F33" s="7">
        <v>1</v>
      </c>
      <c r="G33" s="7" t="s">
        <v>686</v>
      </c>
      <c r="H33" s="7">
        <v>2</v>
      </c>
      <c r="I33" s="7" t="s">
        <v>686</v>
      </c>
      <c r="J33" s="7">
        <v>0</v>
      </c>
      <c r="K33" s="7" t="s">
        <v>686</v>
      </c>
      <c r="L33" s="7" t="s">
        <v>784</v>
      </c>
      <c r="M33" s="7" t="s">
        <v>778</v>
      </c>
      <c r="N33" s="7" t="s">
        <v>776</v>
      </c>
      <c r="O33" s="7" t="s">
        <v>686</v>
      </c>
      <c r="P33" s="7" t="s">
        <v>786</v>
      </c>
      <c r="Q33" s="7" t="s">
        <v>686</v>
      </c>
      <c r="R33" s="7">
        <v>1</v>
      </c>
      <c r="S33" s="7" t="s">
        <v>772</v>
      </c>
      <c r="T33" s="7" t="s">
        <v>777</v>
      </c>
      <c r="U33" s="7" t="s">
        <v>771</v>
      </c>
      <c r="V33" s="7" t="s">
        <v>685</v>
      </c>
      <c r="W33" s="7"/>
      <c r="X33" s="7" t="s">
        <v>761</v>
      </c>
    </row>
    <row r="34" spans="1:24" x14ac:dyDescent="0.25">
      <c r="A34" s="32" t="s">
        <v>688</v>
      </c>
      <c r="B34" s="32" t="s">
        <v>894</v>
      </c>
      <c r="C34" s="27" t="s">
        <v>771</v>
      </c>
      <c r="D34" s="27">
        <v>41000</v>
      </c>
      <c r="E34" s="27" t="s">
        <v>686</v>
      </c>
      <c r="F34" s="27">
        <v>1</v>
      </c>
      <c r="G34" s="27" t="s">
        <v>686</v>
      </c>
      <c r="H34" s="27">
        <v>1</v>
      </c>
      <c r="I34" s="27" t="s">
        <v>686</v>
      </c>
      <c r="J34" s="27">
        <v>0</v>
      </c>
      <c r="K34" s="27" t="s">
        <v>686</v>
      </c>
      <c r="L34" s="27" t="s">
        <v>785</v>
      </c>
      <c r="M34" s="27" t="s">
        <v>773</v>
      </c>
      <c r="N34" s="27" t="s">
        <v>776</v>
      </c>
      <c r="O34" s="27" t="s">
        <v>686</v>
      </c>
      <c r="P34" s="27" t="s">
        <v>786</v>
      </c>
      <c r="Q34" s="27" t="s">
        <v>686</v>
      </c>
      <c r="R34" s="27">
        <v>1</v>
      </c>
      <c r="S34" s="27" t="s">
        <v>772</v>
      </c>
      <c r="T34" s="27" t="s">
        <v>777</v>
      </c>
      <c r="U34" s="27" t="s">
        <v>771</v>
      </c>
      <c r="V34" s="27" t="s">
        <v>685</v>
      </c>
      <c r="W34" s="27"/>
      <c r="X34" s="27" t="s">
        <v>761</v>
      </c>
    </row>
    <row r="35" spans="1:24" x14ac:dyDescent="0.25">
      <c r="A35" s="31" t="s">
        <v>688</v>
      </c>
      <c r="B35" s="31" t="s">
        <v>895</v>
      </c>
      <c r="C35" s="7" t="s">
        <v>771</v>
      </c>
      <c r="D35" s="7">
        <v>41100</v>
      </c>
      <c r="E35" s="7" t="s">
        <v>686</v>
      </c>
      <c r="F35" s="7">
        <v>1</v>
      </c>
      <c r="G35" s="7" t="s">
        <v>686</v>
      </c>
      <c r="H35" s="7">
        <v>1</v>
      </c>
      <c r="I35" s="7" t="s">
        <v>686</v>
      </c>
      <c r="J35" s="7">
        <v>0</v>
      </c>
      <c r="K35" s="7" t="s">
        <v>686</v>
      </c>
      <c r="L35" s="7" t="s">
        <v>785</v>
      </c>
      <c r="M35" s="7" t="s">
        <v>773</v>
      </c>
      <c r="N35" s="7" t="s">
        <v>776</v>
      </c>
      <c r="O35" s="7" t="s">
        <v>686</v>
      </c>
      <c r="P35" s="7" t="s">
        <v>786</v>
      </c>
      <c r="Q35" s="7" t="s">
        <v>686</v>
      </c>
      <c r="R35" s="7">
        <v>1</v>
      </c>
      <c r="S35" s="7" t="s">
        <v>772</v>
      </c>
      <c r="T35" s="7" t="s">
        <v>777</v>
      </c>
      <c r="U35" s="7" t="s">
        <v>771</v>
      </c>
      <c r="V35" s="7" t="s">
        <v>685</v>
      </c>
      <c r="W35" s="7"/>
      <c r="X35" s="7" t="s">
        <v>761</v>
      </c>
    </row>
    <row r="36" spans="1:24" x14ac:dyDescent="0.25">
      <c r="A36" s="32" t="s">
        <v>688</v>
      </c>
      <c r="B36" s="32" t="s">
        <v>896</v>
      </c>
      <c r="C36" s="27" t="s">
        <v>771</v>
      </c>
      <c r="D36" s="27">
        <v>41200</v>
      </c>
      <c r="E36" s="27" t="s">
        <v>686</v>
      </c>
      <c r="F36" s="27">
        <v>1</v>
      </c>
      <c r="G36" s="27" t="s">
        <v>686</v>
      </c>
      <c r="H36" s="27">
        <v>1</v>
      </c>
      <c r="I36" s="27" t="s">
        <v>686</v>
      </c>
      <c r="J36" s="27">
        <v>0</v>
      </c>
      <c r="K36" s="27" t="s">
        <v>686</v>
      </c>
      <c r="L36" s="27" t="s">
        <v>785</v>
      </c>
      <c r="M36" s="27" t="s">
        <v>773</v>
      </c>
      <c r="N36" s="27" t="s">
        <v>776</v>
      </c>
      <c r="O36" s="27" t="s">
        <v>686</v>
      </c>
      <c r="P36" s="27" t="s">
        <v>786</v>
      </c>
      <c r="Q36" s="27" t="s">
        <v>686</v>
      </c>
      <c r="R36" s="27">
        <v>1</v>
      </c>
      <c r="S36" s="27" t="s">
        <v>772</v>
      </c>
      <c r="T36" s="27" t="s">
        <v>777</v>
      </c>
      <c r="U36" s="27" t="s">
        <v>771</v>
      </c>
      <c r="V36" s="27" t="s">
        <v>685</v>
      </c>
      <c r="W36" s="27"/>
      <c r="X36" s="27" t="s">
        <v>761</v>
      </c>
    </row>
    <row r="37" spans="1:24" x14ac:dyDescent="0.25">
      <c r="A37" s="31" t="s">
        <v>688</v>
      </c>
      <c r="B37" s="31" t="s">
        <v>897</v>
      </c>
      <c r="C37" s="7" t="s">
        <v>771</v>
      </c>
      <c r="D37" s="7">
        <v>42000</v>
      </c>
      <c r="E37" s="7" t="s">
        <v>686</v>
      </c>
      <c r="F37" s="7">
        <v>1</v>
      </c>
      <c r="G37" s="7" t="s">
        <v>686</v>
      </c>
      <c r="H37" s="7">
        <v>1</v>
      </c>
      <c r="I37" s="7" t="s">
        <v>686</v>
      </c>
      <c r="J37" s="7">
        <v>0</v>
      </c>
      <c r="K37" s="7" t="s">
        <v>686</v>
      </c>
      <c r="L37" s="7" t="s">
        <v>785</v>
      </c>
      <c r="M37" s="7" t="s">
        <v>773</v>
      </c>
      <c r="N37" s="7" t="s">
        <v>776</v>
      </c>
      <c r="O37" s="7" t="s">
        <v>686</v>
      </c>
      <c r="P37" s="7" t="s">
        <v>786</v>
      </c>
      <c r="Q37" s="7" t="s">
        <v>686</v>
      </c>
      <c r="R37" s="7">
        <v>1</v>
      </c>
      <c r="S37" s="7" t="s">
        <v>772</v>
      </c>
      <c r="T37" s="7" t="s">
        <v>777</v>
      </c>
      <c r="U37" s="7" t="s">
        <v>771</v>
      </c>
      <c r="V37" s="7" t="s">
        <v>685</v>
      </c>
      <c r="W37" s="7"/>
      <c r="X37" s="7" t="s">
        <v>761</v>
      </c>
    </row>
    <row r="38" spans="1:24" x14ac:dyDescent="0.25">
      <c r="A38" s="32" t="s">
        <v>688</v>
      </c>
      <c r="B38" s="32" t="s">
        <v>888</v>
      </c>
      <c r="C38" s="27" t="s">
        <v>771</v>
      </c>
      <c r="D38" s="27">
        <v>42010</v>
      </c>
      <c r="E38" s="27" t="s">
        <v>686</v>
      </c>
      <c r="F38" s="27">
        <v>2</v>
      </c>
      <c r="G38" s="27" t="s">
        <v>686</v>
      </c>
      <c r="H38" s="27">
        <v>1</v>
      </c>
      <c r="I38" s="27" t="s">
        <v>686</v>
      </c>
      <c r="J38" s="27">
        <v>0</v>
      </c>
      <c r="K38" s="27" t="s">
        <v>686</v>
      </c>
      <c r="L38" s="27" t="s">
        <v>785</v>
      </c>
      <c r="M38" s="27" t="s">
        <v>773</v>
      </c>
      <c r="N38" s="27" t="s">
        <v>776</v>
      </c>
      <c r="O38" s="27" t="s">
        <v>686</v>
      </c>
      <c r="P38" s="27" t="s">
        <v>786</v>
      </c>
      <c r="Q38" s="27" t="s">
        <v>686</v>
      </c>
      <c r="R38" s="27">
        <v>1</v>
      </c>
      <c r="S38" s="27" t="s">
        <v>772</v>
      </c>
      <c r="T38" s="27" t="s">
        <v>777</v>
      </c>
      <c r="U38" s="27" t="s">
        <v>771</v>
      </c>
      <c r="V38" s="27" t="s">
        <v>685</v>
      </c>
      <c r="W38" s="27"/>
      <c r="X38" s="27" t="s">
        <v>761</v>
      </c>
    </row>
    <row r="39" spans="1:24" x14ac:dyDescent="0.25">
      <c r="A39" s="32" t="s">
        <v>688</v>
      </c>
      <c r="B39" s="32" t="s">
        <v>898</v>
      </c>
      <c r="C39" s="27" t="s">
        <v>771</v>
      </c>
      <c r="D39" s="27">
        <v>42011</v>
      </c>
      <c r="E39" s="27" t="s">
        <v>686</v>
      </c>
      <c r="F39" s="27">
        <v>0</v>
      </c>
      <c r="G39" s="27" t="s">
        <v>686</v>
      </c>
      <c r="H39" s="27">
        <v>1</v>
      </c>
      <c r="I39" s="27" t="s">
        <v>686</v>
      </c>
      <c r="J39" s="27">
        <v>1</v>
      </c>
      <c r="K39" s="27" t="s">
        <v>686</v>
      </c>
      <c r="L39" s="27" t="s">
        <v>785</v>
      </c>
      <c r="M39" s="27" t="s">
        <v>773</v>
      </c>
      <c r="N39" s="27" t="s">
        <v>776</v>
      </c>
      <c r="O39" s="27" t="s">
        <v>686</v>
      </c>
      <c r="P39" s="27" t="s">
        <v>786</v>
      </c>
      <c r="Q39" s="27" t="s">
        <v>686</v>
      </c>
      <c r="R39" s="27" t="s">
        <v>246</v>
      </c>
      <c r="S39" s="27" t="s">
        <v>772</v>
      </c>
      <c r="T39" s="27" t="s">
        <v>777</v>
      </c>
      <c r="U39" s="27" t="s">
        <v>771</v>
      </c>
      <c r="V39" s="27" t="s">
        <v>685</v>
      </c>
      <c r="W39" s="27"/>
      <c r="X39" s="27" t="s">
        <v>761</v>
      </c>
    </row>
    <row r="40" spans="1:24" x14ac:dyDescent="0.25">
      <c r="A40" s="31" t="s">
        <v>688</v>
      </c>
      <c r="B40" s="31" t="s">
        <v>899</v>
      </c>
      <c r="C40" s="7" t="s">
        <v>771</v>
      </c>
      <c r="D40" s="7">
        <v>42020</v>
      </c>
      <c r="E40" s="7" t="s">
        <v>686</v>
      </c>
      <c r="F40" s="7">
        <v>2</v>
      </c>
      <c r="G40" s="7" t="s">
        <v>686</v>
      </c>
      <c r="H40" s="7">
        <v>1</v>
      </c>
      <c r="I40" s="7" t="s">
        <v>686</v>
      </c>
      <c r="J40" s="7">
        <v>0</v>
      </c>
      <c r="K40" s="7" t="s">
        <v>686</v>
      </c>
      <c r="L40" s="7" t="s">
        <v>785</v>
      </c>
      <c r="M40" s="7" t="s">
        <v>773</v>
      </c>
      <c r="N40" s="7" t="s">
        <v>776</v>
      </c>
      <c r="O40" s="7" t="s">
        <v>686</v>
      </c>
      <c r="P40" s="7" t="s">
        <v>786</v>
      </c>
      <c r="Q40" s="7" t="s">
        <v>686</v>
      </c>
      <c r="R40" s="7">
        <v>1</v>
      </c>
      <c r="S40" s="7" t="s">
        <v>772</v>
      </c>
      <c r="T40" s="7" t="s">
        <v>765</v>
      </c>
      <c r="U40" s="7" t="s">
        <v>771</v>
      </c>
      <c r="V40" s="7" t="s">
        <v>685</v>
      </c>
      <c r="W40" s="7"/>
      <c r="X40" s="7" t="s">
        <v>761</v>
      </c>
    </row>
    <row r="41" spans="1:24" x14ac:dyDescent="0.25">
      <c r="A41" s="31" t="s">
        <v>688</v>
      </c>
      <c r="B41" s="31" t="s">
        <v>900</v>
      </c>
      <c r="C41" s="7" t="s">
        <v>771</v>
      </c>
      <c r="D41" s="7">
        <v>42021</v>
      </c>
      <c r="E41" s="7" t="s">
        <v>686</v>
      </c>
      <c r="F41" s="7">
        <v>0</v>
      </c>
      <c r="G41" s="7" t="s">
        <v>686</v>
      </c>
      <c r="H41" s="7">
        <v>1</v>
      </c>
      <c r="I41" s="7" t="s">
        <v>686</v>
      </c>
      <c r="J41" s="7">
        <v>1</v>
      </c>
      <c r="K41" s="7" t="s">
        <v>686</v>
      </c>
      <c r="L41" s="7" t="s">
        <v>785</v>
      </c>
      <c r="M41" s="7" t="s">
        <v>773</v>
      </c>
      <c r="N41" s="7" t="s">
        <v>776</v>
      </c>
      <c r="O41" s="7" t="s">
        <v>686</v>
      </c>
      <c r="P41" s="7" t="s">
        <v>786</v>
      </c>
      <c r="Q41" s="7" t="s">
        <v>686</v>
      </c>
      <c r="R41" s="7">
        <v>1</v>
      </c>
      <c r="S41" s="7" t="s">
        <v>772</v>
      </c>
      <c r="T41" s="7" t="s">
        <v>765</v>
      </c>
      <c r="U41" s="7" t="s">
        <v>771</v>
      </c>
      <c r="V41" s="7" t="s">
        <v>685</v>
      </c>
      <c r="W41" s="7"/>
      <c r="X41" s="7" t="s">
        <v>761</v>
      </c>
    </row>
    <row r="42" spans="1:24" x14ac:dyDescent="0.25">
      <c r="A42" s="32" t="s">
        <v>688</v>
      </c>
      <c r="B42" s="32" t="s">
        <v>901</v>
      </c>
      <c r="C42" s="27" t="s">
        <v>771</v>
      </c>
      <c r="D42" s="27">
        <v>43000</v>
      </c>
      <c r="E42" s="27" t="s">
        <v>686</v>
      </c>
      <c r="F42" s="27">
        <v>1</v>
      </c>
      <c r="G42" s="27" t="s">
        <v>686</v>
      </c>
      <c r="H42" s="27">
        <v>1</v>
      </c>
      <c r="I42" s="27" t="s">
        <v>686</v>
      </c>
      <c r="J42" s="27">
        <v>0</v>
      </c>
      <c r="K42" s="27" t="s">
        <v>686</v>
      </c>
      <c r="L42" s="27" t="s">
        <v>785</v>
      </c>
      <c r="M42" s="27" t="s">
        <v>773</v>
      </c>
      <c r="N42" s="27" t="s">
        <v>776</v>
      </c>
      <c r="O42" s="27" t="s">
        <v>686</v>
      </c>
      <c r="P42" s="27" t="s">
        <v>786</v>
      </c>
      <c r="Q42" s="27" t="s">
        <v>686</v>
      </c>
      <c r="R42" s="27">
        <v>1</v>
      </c>
      <c r="S42" s="27" t="s">
        <v>772</v>
      </c>
      <c r="T42" s="27" t="s">
        <v>777</v>
      </c>
      <c r="U42" s="27" t="s">
        <v>771</v>
      </c>
      <c r="V42" s="27" t="s">
        <v>685</v>
      </c>
      <c r="W42" s="27"/>
      <c r="X42" s="27" t="s">
        <v>761</v>
      </c>
    </row>
    <row r="43" spans="1:24" x14ac:dyDescent="0.25">
      <c r="A43" s="31" t="s">
        <v>688</v>
      </c>
      <c r="B43" s="31" t="s">
        <v>902</v>
      </c>
      <c r="C43" s="7" t="s">
        <v>771</v>
      </c>
      <c r="D43" s="7">
        <v>44000</v>
      </c>
      <c r="E43" s="7" t="s">
        <v>686</v>
      </c>
      <c r="F43" s="7">
        <v>4</v>
      </c>
      <c r="G43" s="7" t="s">
        <v>686</v>
      </c>
      <c r="H43" s="7">
        <v>1</v>
      </c>
      <c r="I43" s="7" t="s">
        <v>686</v>
      </c>
      <c r="J43" s="7">
        <v>0</v>
      </c>
      <c r="K43" s="7" t="s">
        <v>686</v>
      </c>
      <c r="L43" s="7" t="s">
        <v>785</v>
      </c>
      <c r="M43" s="7" t="s">
        <v>773</v>
      </c>
      <c r="N43" s="7" t="s">
        <v>776</v>
      </c>
      <c r="O43" s="7" t="s">
        <v>686</v>
      </c>
      <c r="P43" s="7" t="s">
        <v>786</v>
      </c>
      <c r="Q43" s="7" t="s">
        <v>686</v>
      </c>
      <c r="R43" s="7" t="s">
        <v>770</v>
      </c>
      <c r="S43" s="7" t="s">
        <v>772</v>
      </c>
      <c r="T43" s="7" t="s">
        <v>766</v>
      </c>
      <c r="U43" s="7" t="s">
        <v>771</v>
      </c>
      <c r="V43" s="7" t="s">
        <v>685</v>
      </c>
      <c r="W43" s="7"/>
      <c r="X43" s="7" t="s">
        <v>761</v>
      </c>
    </row>
    <row r="44" spans="1:24" x14ac:dyDescent="0.25">
      <c r="A44" s="31" t="s">
        <v>688</v>
      </c>
      <c r="B44" s="31" t="s">
        <v>903</v>
      </c>
      <c r="C44" s="7" t="s">
        <v>771</v>
      </c>
      <c r="D44" s="7">
        <v>44001</v>
      </c>
      <c r="E44" s="7" t="s">
        <v>686</v>
      </c>
      <c r="F44" s="7">
        <v>0</v>
      </c>
      <c r="G44" s="7" t="s">
        <v>686</v>
      </c>
      <c r="H44" s="7">
        <v>1</v>
      </c>
      <c r="I44" s="7" t="s">
        <v>686</v>
      </c>
      <c r="J44" s="7">
        <v>1</v>
      </c>
      <c r="K44" s="7" t="s">
        <v>686</v>
      </c>
      <c r="L44" s="7" t="s">
        <v>785</v>
      </c>
      <c r="M44" s="7" t="s">
        <v>773</v>
      </c>
      <c r="N44" s="7" t="s">
        <v>776</v>
      </c>
      <c r="O44" s="7" t="s">
        <v>686</v>
      </c>
      <c r="P44" s="7" t="s">
        <v>786</v>
      </c>
      <c r="Q44" s="7" t="s">
        <v>686</v>
      </c>
      <c r="R44" s="7" t="s">
        <v>770</v>
      </c>
      <c r="S44" s="7" t="s">
        <v>772</v>
      </c>
      <c r="T44" s="7" t="s">
        <v>766</v>
      </c>
      <c r="U44" s="7" t="s">
        <v>771</v>
      </c>
      <c r="V44" s="7" t="s">
        <v>685</v>
      </c>
      <c r="W44" s="7"/>
      <c r="X44" s="7" t="s">
        <v>761</v>
      </c>
    </row>
    <row r="45" spans="1:24" x14ac:dyDescent="0.25">
      <c r="A45" s="31" t="s">
        <v>688</v>
      </c>
      <c r="B45" s="31" t="s">
        <v>904</v>
      </c>
      <c r="C45" s="7" t="s">
        <v>771</v>
      </c>
      <c r="D45" s="7">
        <v>44002</v>
      </c>
      <c r="E45" s="7" t="s">
        <v>686</v>
      </c>
      <c r="F45" s="7">
        <v>0</v>
      </c>
      <c r="G45" s="7" t="s">
        <v>686</v>
      </c>
      <c r="H45" s="7">
        <v>1</v>
      </c>
      <c r="I45" s="7" t="s">
        <v>686</v>
      </c>
      <c r="J45" s="7">
        <v>2</v>
      </c>
      <c r="K45" s="7" t="s">
        <v>686</v>
      </c>
      <c r="L45" s="7" t="s">
        <v>785</v>
      </c>
      <c r="M45" s="7" t="s">
        <v>773</v>
      </c>
      <c r="N45" s="7" t="s">
        <v>776</v>
      </c>
      <c r="O45" s="7" t="s">
        <v>686</v>
      </c>
      <c r="P45" s="7" t="s">
        <v>786</v>
      </c>
      <c r="Q45" s="7" t="s">
        <v>686</v>
      </c>
      <c r="R45" s="7">
        <v>1</v>
      </c>
      <c r="S45" s="7" t="s">
        <v>772</v>
      </c>
      <c r="T45" s="7" t="s">
        <v>765</v>
      </c>
      <c r="U45" s="7" t="s">
        <v>771</v>
      </c>
      <c r="V45" s="7" t="s">
        <v>685</v>
      </c>
      <c r="W45" s="7"/>
      <c r="X45" s="7" t="s">
        <v>761</v>
      </c>
    </row>
    <row r="46" spans="1:24" x14ac:dyDescent="0.25">
      <c r="A46" s="31" t="s">
        <v>688</v>
      </c>
      <c r="B46" s="31" t="s">
        <v>905</v>
      </c>
      <c r="C46" s="7" t="s">
        <v>771</v>
      </c>
      <c r="D46" s="7">
        <v>44003</v>
      </c>
      <c r="E46" s="7" t="s">
        <v>686</v>
      </c>
      <c r="F46" s="7">
        <v>0</v>
      </c>
      <c r="G46" s="7" t="s">
        <v>686</v>
      </c>
      <c r="H46" s="7">
        <v>1</v>
      </c>
      <c r="I46" s="7" t="s">
        <v>686</v>
      </c>
      <c r="J46" s="7">
        <v>3</v>
      </c>
      <c r="K46" s="7" t="s">
        <v>686</v>
      </c>
      <c r="L46" s="7" t="s">
        <v>785</v>
      </c>
      <c r="M46" s="7" t="s">
        <v>773</v>
      </c>
      <c r="N46" s="7" t="s">
        <v>776</v>
      </c>
      <c r="O46" s="7" t="s">
        <v>686</v>
      </c>
      <c r="P46" s="7" t="s">
        <v>786</v>
      </c>
      <c r="Q46" s="7" t="s">
        <v>686</v>
      </c>
      <c r="R46" s="7">
        <v>1</v>
      </c>
      <c r="S46" s="7" t="s">
        <v>772</v>
      </c>
      <c r="T46" s="7" t="s">
        <v>765</v>
      </c>
      <c r="U46" s="7" t="s">
        <v>771</v>
      </c>
      <c r="V46" s="7" t="s">
        <v>685</v>
      </c>
      <c r="W46" s="7"/>
      <c r="X46" s="7" t="s">
        <v>760</v>
      </c>
    </row>
    <row r="47" spans="1:24" x14ac:dyDescent="0.25">
      <c r="C47" s="1"/>
    </row>
    <row r="48" spans="1:24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EB87-C150-4C8E-A837-6AA0FA268D59}">
  <sheetPr codeName="Sheet2"/>
  <dimension ref="A1:X51"/>
  <sheetViews>
    <sheetView workbookViewId="0">
      <selection activeCell="B7" sqref="B7"/>
    </sheetView>
  </sheetViews>
  <sheetFormatPr defaultRowHeight="15" x14ac:dyDescent="0.25"/>
  <cols>
    <col min="2" max="2" width="28" bestFit="1" customWidth="1"/>
    <col min="3" max="3" width="2.28515625" bestFit="1" customWidth="1"/>
    <col min="4" max="4" width="6" style="1" bestFit="1" customWidth="1"/>
    <col min="5" max="5" width="1.5703125" style="1" bestFit="1" customWidth="1"/>
    <col min="6" max="6" width="6.7109375" style="1" bestFit="1" customWidth="1"/>
    <col min="7" max="7" width="1.5703125" style="1" bestFit="1" customWidth="1"/>
    <col min="8" max="8" width="5.42578125" style="1" customWidth="1"/>
    <col min="9" max="9" width="1.5703125" style="1" bestFit="1" customWidth="1"/>
    <col min="10" max="10" width="7.85546875" style="1" bestFit="1" customWidth="1"/>
    <col min="11" max="11" width="1.5703125" style="1" bestFit="1" customWidth="1"/>
    <col min="12" max="12" width="5.85546875" style="1" bestFit="1" customWidth="1"/>
    <col min="13" max="13" width="6.5703125" style="1" bestFit="1" customWidth="1"/>
    <col min="14" max="14" width="9.85546875" style="1" bestFit="1" customWidth="1"/>
    <col min="15" max="15" width="1.5703125" style="1" bestFit="1" customWidth="1"/>
    <col min="16" max="16" width="11.5703125" style="1" bestFit="1" customWidth="1"/>
    <col min="17" max="17" width="1.5703125" style="1" bestFit="1" customWidth="1"/>
    <col min="18" max="18" width="6.85546875" style="1" bestFit="1" customWidth="1"/>
    <col min="19" max="19" width="2.28515625" style="1" bestFit="1" customWidth="1"/>
    <col min="20" max="20" width="6.42578125" style="1" bestFit="1" customWidth="1"/>
    <col min="21" max="21" width="2.28515625" style="1" bestFit="1" customWidth="1"/>
    <col min="22" max="22" width="1.7109375" style="1" bestFit="1" customWidth="1"/>
    <col min="23" max="23" width="15.5703125" style="1" bestFit="1" customWidth="1"/>
    <col min="24" max="24" width="2.85546875" style="1" bestFit="1" customWidth="1"/>
  </cols>
  <sheetData>
    <row r="1" spans="1:24" x14ac:dyDescent="0.25">
      <c r="A1" s="42" t="s">
        <v>684</v>
      </c>
      <c r="B1" s="40" t="s">
        <v>908</v>
      </c>
      <c r="C1" s="40"/>
      <c r="D1" s="41" t="s">
        <v>909</v>
      </c>
      <c r="E1" s="41"/>
      <c r="F1" s="41" t="s">
        <v>911</v>
      </c>
      <c r="G1" s="41"/>
      <c r="H1" s="41" t="s">
        <v>910</v>
      </c>
      <c r="I1" s="41"/>
      <c r="J1" s="41" t="s">
        <v>912</v>
      </c>
      <c r="K1" s="41"/>
      <c r="L1" s="41" t="s">
        <v>913</v>
      </c>
      <c r="M1" s="41" t="s">
        <v>914</v>
      </c>
      <c r="N1" s="41" t="s">
        <v>915</v>
      </c>
      <c r="O1" s="41"/>
      <c r="P1" s="41" t="s">
        <v>916</v>
      </c>
      <c r="Q1" s="41"/>
      <c r="R1" s="41" t="s">
        <v>917</v>
      </c>
      <c r="S1" s="41"/>
      <c r="T1" s="41" t="s">
        <v>918</v>
      </c>
      <c r="U1" s="41"/>
      <c r="V1" s="41"/>
      <c r="W1" s="41" t="s">
        <v>919</v>
      </c>
      <c r="X1" s="41" t="s">
        <v>920</v>
      </c>
    </row>
    <row r="2" spans="1:24" x14ac:dyDescent="0.25">
      <c r="A2" s="31" t="s">
        <v>688</v>
      </c>
      <c r="B2" s="31" t="s">
        <v>862</v>
      </c>
      <c r="C2" s="7" t="s">
        <v>771</v>
      </c>
      <c r="D2" s="7">
        <v>31000</v>
      </c>
      <c r="E2" s="7" t="s">
        <v>686</v>
      </c>
      <c r="F2" s="7">
        <v>1</v>
      </c>
      <c r="G2" s="7" t="s">
        <v>686</v>
      </c>
      <c r="H2" s="7">
        <v>10</v>
      </c>
      <c r="I2" s="7" t="s">
        <v>686</v>
      </c>
      <c r="J2" s="7">
        <v>0</v>
      </c>
      <c r="K2" s="7" t="s">
        <v>686</v>
      </c>
      <c r="L2" s="7" t="s">
        <v>784</v>
      </c>
      <c r="M2" s="7" t="s">
        <v>774</v>
      </c>
      <c r="N2" s="7" t="s">
        <v>776</v>
      </c>
      <c r="O2" s="7" t="s">
        <v>686</v>
      </c>
      <c r="P2" s="7" t="s">
        <v>786</v>
      </c>
      <c r="Q2" s="7" t="s">
        <v>686</v>
      </c>
      <c r="R2" s="7">
        <v>1</v>
      </c>
      <c r="S2" s="7" t="s">
        <v>772</v>
      </c>
      <c r="T2" s="7" t="s">
        <v>777</v>
      </c>
      <c r="U2" s="7" t="s">
        <v>771</v>
      </c>
      <c r="V2" s="7" t="s">
        <v>685</v>
      </c>
      <c r="W2" s="7"/>
      <c r="X2" s="7" t="s">
        <v>761</v>
      </c>
    </row>
    <row r="3" spans="1:24" x14ac:dyDescent="0.25">
      <c r="A3" s="32" t="s">
        <v>688</v>
      </c>
      <c r="B3" s="32" t="s">
        <v>863</v>
      </c>
      <c r="C3" s="27" t="s">
        <v>771</v>
      </c>
      <c r="D3" s="27">
        <v>31100</v>
      </c>
      <c r="E3" s="27" t="s">
        <v>686</v>
      </c>
      <c r="F3" s="27">
        <v>1</v>
      </c>
      <c r="G3" s="27" t="s">
        <v>686</v>
      </c>
      <c r="H3" s="27">
        <v>1</v>
      </c>
      <c r="I3" s="27" t="s">
        <v>686</v>
      </c>
      <c r="J3" s="27">
        <v>0</v>
      </c>
      <c r="K3" s="27" t="s">
        <v>686</v>
      </c>
      <c r="L3" s="27" t="s">
        <v>784</v>
      </c>
      <c r="M3" s="27" t="s">
        <v>773</v>
      </c>
      <c r="N3" s="27" t="s">
        <v>776</v>
      </c>
      <c r="O3" s="27" t="s">
        <v>686</v>
      </c>
      <c r="P3" s="27" t="s">
        <v>786</v>
      </c>
      <c r="Q3" s="27" t="s">
        <v>686</v>
      </c>
      <c r="R3" s="27" t="s">
        <v>246</v>
      </c>
      <c r="S3" s="27" t="s">
        <v>772</v>
      </c>
      <c r="T3" s="27" t="s">
        <v>777</v>
      </c>
      <c r="U3" s="27" t="s">
        <v>771</v>
      </c>
      <c r="V3" s="27" t="s">
        <v>685</v>
      </c>
      <c r="W3" s="27"/>
      <c r="X3" s="27" t="s">
        <v>761</v>
      </c>
    </row>
    <row r="4" spans="1:24" x14ac:dyDescent="0.25">
      <c r="A4" s="31" t="s">
        <v>688</v>
      </c>
      <c r="B4" s="31" t="s">
        <v>864</v>
      </c>
      <c r="C4" s="7" t="s">
        <v>771</v>
      </c>
      <c r="D4" s="7">
        <v>31200</v>
      </c>
      <c r="E4" s="7" t="s">
        <v>686</v>
      </c>
      <c r="F4" s="7">
        <v>1</v>
      </c>
      <c r="G4" s="7" t="s">
        <v>686</v>
      </c>
      <c r="H4" s="7">
        <v>10</v>
      </c>
      <c r="I4" s="7" t="s">
        <v>686</v>
      </c>
      <c r="J4" s="7">
        <v>0</v>
      </c>
      <c r="K4" s="7" t="s">
        <v>686</v>
      </c>
      <c r="L4" s="7" t="s">
        <v>784</v>
      </c>
      <c r="M4" s="7" t="s">
        <v>774</v>
      </c>
      <c r="N4" s="7" t="s">
        <v>776</v>
      </c>
      <c r="O4" s="7" t="s">
        <v>686</v>
      </c>
      <c r="P4" s="7" t="s">
        <v>786</v>
      </c>
      <c r="Q4" s="7" t="s">
        <v>686</v>
      </c>
      <c r="R4" s="7">
        <v>1</v>
      </c>
      <c r="S4" s="7" t="s">
        <v>772</v>
      </c>
      <c r="T4" s="7" t="s">
        <v>777</v>
      </c>
      <c r="U4" s="7" t="s">
        <v>771</v>
      </c>
      <c r="V4" s="7" t="s">
        <v>685</v>
      </c>
      <c r="W4" s="7"/>
      <c r="X4" s="7" t="s">
        <v>761</v>
      </c>
    </row>
    <row r="5" spans="1:24" x14ac:dyDescent="0.25">
      <c r="A5" s="32" t="s">
        <v>688</v>
      </c>
      <c r="B5" s="32" t="s">
        <v>865</v>
      </c>
      <c r="C5" s="27" t="s">
        <v>771</v>
      </c>
      <c r="D5" s="27">
        <v>32100</v>
      </c>
      <c r="E5" s="27" t="s">
        <v>686</v>
      </c>
      <c r="F5" s="27">
        <v>6</v>
      </c>
      <c r="G5" s="27" t="s">
        <v>686</v>
      </c>
      <c r="H5" s="27">
        <v>1</v>
      </c>
      <c r="I5" s="27" t="s">
        <v>686</v>
      </c>
      <c r="J5" s="27">
        <v>0</v>
      </c>
      <c r="K5" s="27" t="s">
        <v>686</v>
      </c>
      <c r="L5" s="27" t="s">
        <v>784</v>
      </c>
      <c r="M5" s="27" t="s">
        <v>773</v>
      </c>
      <c r="N5" s="27" t="s">
        <v>776</v>
      </c>
      <c r="O5" s="27" t="s">
        <v>686</v>
      </c>
      <c r="P5" s="27" t="s">
        <v>786</v>
      </c>
      <c r="Q5" s="27" t="s">
        <v>686</v>
      </c>
      <c r="R5" s="27" t="s">
        <v>246</v>
      </c>
      <c r="S5" s="27" t="s">
        <v>772</v>
      </c>
      <c r="T5" s="27" t="s">
        <v>767</v>
      </c>
      <c r="U5" s="27" t="s">
        <v>771</v>
      </c>
      <c r="V5" s="27" t="s">
        <v>685</v>
      </c>
      <c r="W5" s="27"/>
      <c r="X5" s="27" t="s">
        <v>761</v>
      </c>
    </row>
    <row r="6" spans="1:24" x14ac:dyDescent="0.25">
      <c r="A6" s="32" t="s">
        <v>688</v>
      </c>
      <c r="B6" s="32" t="s">
        <v>866</v>
      </c>
      <c r="C6" s="27" t="s">
        <v>771</v>
      </c>
      <c r="D6" s="27">
        <v>32101</v>
      </c>
      <c r="E6" s="27" t="s">
        <v>686</v>
      </c>
      <c r="F6" s="27">
        <v>0</v>
      </c>
      <c r="G6" s="27" t="s">
        <v>686</v>
      </c>
      <c r="H6" s="27">
        <v>1</v>
      </c>
      <c r="I6" s="27" t="s">
        <v>686</v>
      </c>
      <c r="J6" s="27">
        <v>1</v>
      </c>
      <c r="K6" s="27" t="s">
        <v>686</v>
      </c>
      <c r="L6" s="27" t="s">
        <v>784</v>
      </c>
      <c r="M6" s="27" t="s">
        <v>775</v>
      </c>
      <c r="N6" s="27" t="s">
        <v>776</v>
      </c>
      <c r="O6" s="27" t="s">
        <v>686</v>
      </c>
      <c r="P6" s="27" t="s">
        <v>786</v>
      </c>
      <c r="Q6" s="27" t="s">
        <v>686</v>
      </c>
      <c r="R6" s="27" t="s">
        <v>246</v>
      </c>
      <c r="S6" s="27" t="s">
        <v>772</v>
      </c>
      <c r="T6" s="27" t="s">
        <v>768</v>
      </c>
      <c r="U6" s="27" t="s">
        <v>771</v>
      </c>
      <c r="V6" s="27" t="s">
        <v>685</v>
      </c>
      <c r="W6" s="27"/>
      <c r="X6" s="27" t="s">
        <v>761</v>
      </c>
    </row>
    <row r="7" spans="1:24" x14ac:dyDescent="0.25">
      <c r="A7" s="32" t="s">
        <v>688</v>
      </c>
      <c r="B7" s="32" t="s">
        <v>867</v>
      </c>
      <c r="C7" s="27" t="s">
        <v>771</v>
      </c>
      <c r="D7" s="27">
        <v>32102</v>
      </c>
      <c r="E7" s="27" t="s">
        <v>686</v>
      </c>
      <c r="F7" s="27">
        <v>0</v>
      </c>
      <c r="G7" s="27" t="s">
        <v>686</v>
      </c>
      <c r="H7" s="27">
        <v>2</v>
      </c>
      <c r="I7" s="27" t="s">
        <v>686</v>
      </c>
      <c r="J7" s="27">
        <v>2</v>
      </c>
      <c r="K7" s="27" t="s">
        <v>686</v>
      </c>
      <c r="L7" s="27" t="s">
        <v>784</v>
      </c>
      <c r="M7" s="27" t="s">
        <v>775</v>
      </c>
      <c r="N7" s="27" t="s">
        <v>776</v>
      </c>
      <c r="O7" s="27" t="s">
        <v>686</v>
      </c>
      <c r="P7" s="27" t="s">
        <v>786</v>
      </c>
      <c r="Q7" s="27" t="s">
        <v>686</v>
      </c>
      <c r="R7" s="27">
        <v>1</v>
      </c>
      <c r="S7" s="27" t="s">
        <v>772</v>
      </c>
      <c r="T7" s="27" t="s">
        <v>765</v>
      </c>
      <c r="U7" s="27" t="s">
        <v>771</v>
      </c>
      <c r="V7" s="27" t="s">
        <v>685</v>
      </c>
      <c r="W7" s="27" t="s">
        <v>906</v>
      </c>
      <c r="X7" s="27" t="s">
        <v>761</v>
      </c>
    </row>
    <row r="8" spans="1:24" x14ac:dyDescent="0.25">
      <c r="A8" s="32" t="s">
        <v>688</v>
      </c>
      <c r="B8" s="32" t="s">
        <v>868</v>
      </c>
      <c r="C8" s="27" t="s">
        <v>771</v>
      </c>
      <c r="D8" s="27">
        <v>32104</v>
      </c>
      <c r="E8" s="27" t="s">
        <v>686</v>
      </c>
      <c r="F8" s="27">
        <v>0</v>
      </c>
      <c r="G8" s="27" t="s">
        <v>686</v>
      </c>
      <c r="H8" s="27">
        <v>1</v>
      </c>
      <c r="I8" s="27" t="s">
        <v>686</v>
      </c>
      <c r="J8" s="27">
        <v>4</v>
      </c>
      <c r="K8" s="27" t="s">
        <v>686</v>
      </c>
      <c r="L8" s="27" t="s">
        <v>784</v>
      </c>
      <c r="M8" s="27" t="s">
        <v>773</v>
      </c>
      <c r="N8" s="27" t="s">
        <v>776</v>
      </c>
      <c r="O8" s="27" t="s">
        <v>686</v>
      </c>
      <c r="P8" s="27" t="s">
        <v>786</v>
      </c>
      <c r="Q8" s="27" t="s">
        <v>686</v>
      </c>
      <c r="R8" s="27" t="s">
        <v>770</v>
      </c>
      <c r="S8" s="27" t="s">
        <v>772</v>
      </c>
      <c r="T8" s="27" t="s">
        <v>766</v>
      </c>
      <c r="U8" s="27" t="s">
        <v>771</v>
      </c>
      <c r="V8" s="27" t="s">
        <v>685</v>
      </c>
      <c r="W8" s="27"/>
      <c r="X8" s="27" t="s">
        <v>761</v>
      </c>
    </row>
    <row r="9" spans="1:24" x14ac:dyDescent="0.25">
      <c r="A9" s="32" t="s">
        <v>688</v>
      </c>
      <c r="B9" s="32" t="s">
        <v>869</v>
      </c>
      <c r="C9" s="27" t="s">
        <v>771</v>
      </c>
      <c r="D9" s="27">
        <v>32105</v>
      </c>
      <c r="E9" s="27" t="s">
        <v>686</v>
      </c>
      <c r="F9" s="27">
        <v>0</v>
      </c>
      <c r="G9" s="27" t="s">
        <v>686</v>
      </c>
      <c r="H9" s="27">
        <v>1</v>
      </c>
      <c r="I9" s="27" t="s">
        <v>686</v>
      </c>
      <c r="J9" s="27">
        <v>5</v>
      </c>
      <c r="K9" s="27" t="s">
        <v>686</v>
      </c>
      <c r="L9" s="27" t="s">
        <v>784</v>
      </c>
      <c r="M9" s="27" t="s">
        <v>773</v>
      </c>
      <c r="N9" s="27" t="s">
        <v>776</v>
      </c>
      <c r="O9" s="27" t="s">
        <v>686</v>
      </c>
      <c r="P9" s="27" t="s">
        <v>786</v>
      </c>
      <c r="Q9" s="27" t="s">
        <v>686</v>
      </c>
      <c r="R9" s="27">
        <v>0.01</v>
      </c>
      <c r="S9" s="27" t="s">
        <v>772</v>
      </c>
      <c r="T9" s="27" t="s">
        <v>21</v>
      </c>
      <c r="U9" s="27" t="s">
        <v>771</v>
      </c>
      <c r="V9" s="27" t="s">
        <v>685</v>
      </c>
      <c r="W9" s="27"/>
      <c r="X9" s="27" t="s">
        <v>761</v>
      </c>
    </row>
    <row r="10" spans="1:24" x14ac:dyDescent="0.25">
      <c r="A10" s="31" t="s">
        <v>688</v>
      </c>
      <c r="B10" s="31" t="s">
        <v>870</v>
      </c>
      <c r="C10" s="7" t="s">
        <v>771</v>
      </c>
      <c r="D10" s="7">
        <v>32200</v>
      </c>
      <c r="E10" s="7" t="s">
        <v>686</v>
      </c>
      <c r="F10" s="7">
        <v>5</v>
      </c>
      <c r="G10" s="7" t="s">
        <v>686</v>
      </c>
      <c r="H10" s="7">
        <v>1</v>
      </c>
      <c r="I10" s="7" t="s">
        <v>686</v>
      </c>
      <c r="J10" s="7">
        <v>0</v>
      </c>
      <c r="K10" s="7" t="s">
        <v>686</v>
      </c>
      <c r="L10" s="7" t="s">
        <v>784</v>
      </c>
      <c r="M10" s="7" t="s">
        <v>773</v>
      </c>
      <c r="N10" s="7" t="s">
        <v>776</v>
      </c>
      <c r="O10" s="7" t="s">
        <v>686</v>
      </c>
      <c r="P10" s="7" t="s">
        <v>786</v>
      </c>
      <c r="Q10" s="7" t="s">
        <v>686</v>
      </c>
      <c r="R10" s="7" t="s">
        <v>770</v>
      </c>
      <c r="S10" s="7" t="s">
        <v>772</v>
      </c>
      <c r="T10" s="7" t="s">
        <v>767</v>
      </c>
      <c r="U10" s="7" t="s">
        <v>771</v>
      </c>
      <c r="V10" s="7" t="s">
        <v>685</v>
      </c>
      <c r="W10" s="7"/>
      <c r="X10" s="7" t="s">
        <v>761</v>
      </c>
    </row>
    <row r="11" spans="1:24" x14ac:dyDescent="0.25">
      <c r="A11" s="31" t="s">
        <v>688</v>
      </c>
      <c r="B11" s="31" t="s">
        <v>871</v>
      </c>
      <c r="C11" s="7" t="s">
        <v>771</v>
      </c>
      <c r="D11" s="7">
        <v>32201</v>
      </c>
      <c r="E11" s="7" t="s">
        <v>686</v>
      </c>
      <c r="F11" s="7">
        <v>0</v>
      </c>
      <c r="G11" s="7" t="s">
        <v>686</v>
      </c>
      <c r="H11" s="7">
        <v>1</v>
      </c>
      <c r="I11" s="7" t="s">
        <v>686</v>
      </c>
      <c r="J11" s="7">
        <v>1</v>
      </c>
      <c r="K11" s="7" t="s">
        <v>686</v>
      </c>
      <c r="L11" s="7" t="s">
        <v>784</v>
      </c>
      <c r="M11" s="7" t="s">
        <v>773</v>
      </c>
      <c r="N11" s="7" t="s">
        <v>776</v>
      </c>
      <c r="O11" s="7" t="s">
        <v>686</v>
      </c>
      <c r="P11" s="7" t="s">
        <v>786</v>
      </c>
      <c r="Q11" s="7" t="s">
        <v>686</v>
      </c>
      <c r="R11" s="7" t="s">
        <v>246</v>
      </c>
      <c r="S11" s="7" t="s">
        <v>772</v>
      </c>
      <c r="T11" s="7" t="s">
        <v>768</v>
      </c>
      <c r="U11" s="7" t="s">
        <v>771</v>
      </c>
      <c r="V11" s="7" t="s">
        <v>685</v>
      </c>
      <c r="W11" s="7"/>
      <c r="X11" s="7" t="s">
        <v>761</v>
      </c>
    </row>
    <row r="12" spans="1:24" x14ac:dyDescent="0.25">
      <c r="A12" s="31" t="s">
        <v>688</v>
      </c>
      <c r="B12" s="31" t="s">
        <v>872</v>
      </c>
      <c r="C12" s="7" t="s">
        <v>771</v>
      </c>
      <c r="D12" s="7">
        <v>32202</v>
      </c>
      <c r="E12" s="7" t="s">
        <v>686</v>
      </c>
      <c r="F12" s="7">
        <v>0</v>
      </c>
      <c r="G12" s="7" t="s">
        <v>686</v>
      </c>
      <c r="H12" s="7">
        <v>2</v>
      </c>
      <c r="I12" s="7" t="s">
        <v>686</v>
      </c>
      <c r="J12" s="7">
        <v>2</v>
      </c>
      <c r="K12" s="7" t="s">
        <v>686</v>
      </c>
      <c r="L12" s="7" t="s">
        <v>784</v>
      </c>
      <c r="M12" s="7" t="s">
        <v>775</v>
      </c>
      <c r="N12" s="7" t="s">
        <v>776</v>
      </c>
      <c r="O12" s="7" t="s">
        <v>686</v>
      </c>
      <c r="P12" s="7" t="s">
        <v>786</v>
      </c>
      <c r="Q12" s="7" t="s">
        <v>686</v>
      </c>
      <c r="R12" s="7">
        <v>1</v>
      </c>
      <c r="S12" s="7" t="s">
        <v>772</v>
      </c>
      <c r="T12" s="7" t="s">
        <v>765</v>
      </c>
      <c r="U12" s="7" t="s">
        <v>771</v>
      </c>
      <c r="V12" s="7" t="s">
        <v>685</v>
      </c>
      <c r="W12" s="7" t="s">
        <v>907</v>
      </c>
      <c r="X12" s="7" t="s">
        <v>761</v>
      </c>
    </row>
    <row r="13" spans="1:24" x14ac:dyDescent="0.25">
      <c r="A13" s="31" t="s">
        <v>688</v>
      </c>
      <c r="B13" s="31" t="s">
        <v>873</v>
      </c>
      <c r="C13" s="7" t="s">
        <v>771</v>
      </c>
      <c r="D13" s="7">
        <v>32204</v>
      </c>
      <c r="E13" s="7" t="s">
        <v>686</v>
      </c>
      <c r="F13" s="7">
        <v>0</v>
      </c>
      <c r="G13" s="7" t="s">
        <v>686</v>
      </c>
      <c r="H13" s="7">
        <v>1</v>
      </c>
      <c r="I13" s="7" t="s">
        <v>686</v>
      </c>
      <c r="J13" s="7">
        <v>4</v>
      </c>
      <c r="K13" s="7" t="s">
        <v>686</v>
      </c>
      <c r="L13" s="7" t="s">
        <v>784</v>
      </c>
      <c r="M13" s="7" t="s">
        <v>773</v>
      </c>
      <c r="N13" s="7" t="s">
        <v>776</v>
      </c>
      <c r="O13" s="7" t="s">
        <v>686</v>
      </c>
      <c r="P13" s="7" t="s">
        <v>786</v>
      </c>
      <c r="Q13" s="7" t="s">
        <v>686</v>
      </c>
      <c r="R13" s="7" t="s">
        <v>246</v>
      </c>
      <c r="S13" s="7" t="s">
        <v>772</v>
      </c>
      <c r="T13" s="7" t="s">
        <v>769</v>
      </c>
      <c r="U13" s="7" t="s">
        <v>771</v>
      </c>
      <c r="V13" s="7" t="s">
        <v>685</v>
      </c>
      <c r="W13" s="7"/>
      <c r="X13" s="7" t="s">
        <v>761</v>
      </c>
    </row>
    <row r="14" spans="1:24" x14ac:dyDescent="0.25">
      <c r="A14" s="32" t="s">
        <v>688</v>
      </c>
      <c r="B14" s="32" t="s">
        <v>874</v>
      </c>
      <c r="C14" s="27" t="s">
        <v>771</v>
      </c>
      <c r="D14" s="27">
        <v>32300</v>
      </c>
      <c r="E14" s="27" t="s">
        <v>686</v>
      </c>
      <c r="F14" s="27">
        <v>4</v>
      </c>
      <c r="G14" s="27" t="s">
        <v>686</v>
      </c>
      <c r="H14" s="27">
        <v>1</v>
      </c>
      <c r="I14" s="27" t="s">
        <v>686</v>
      </c>
      <c r="J14" s="27">
        <v>0</v>
      </c>
      <c r="K14" s="27" t="s">
        <v>686</v>
      </c>
      <c r="L14" s="27" t="s">
        <v>784</v>
      </c>
      <c r="M14" s="27" t="s">
        <v>773</v>
      </c>
      <c r="N14" s="27" t="s">
        <v>776</v>
      </c>
      <c r="O14" s="27" t="s">
        <v>686</v>
      </c>
      <c r="P14" s="27" t="s">
        <v>786</v>
      </c>
      <c r="Q14" s="27" t="s">
        <v>686</v>
      </c>
      <c r="R14" s="27" t="s">
        <v>770</v>
      </c>
      <c r="S14" s="27" t="s">
        <v>772</v>
      </c>
      <c r="T14" s="27" t="s">
        <v>767</v>
      </c>
      <c r="U14" s="27" t="s">
        <v>771</v>
      </c>
      <c r="V14" s="27" t="s">
        <v>685</v>
      </c>
      <c r="W14" s="27"/>
      <c r="X14" s="27" t="s">
        <v>761</v>
      </c>
    </row>
    <row r="15" spans="1:24" x14ac:dyDescent="0.25">
      <c r="A15" s="32" t="s">
        <v>688</v>
      </c>
      <c r="B15" s="32" t="s">
        <v>875</v>
      </c>
      <c r="C15" s="27" t="s">
        <v>771</v>
      </c>
      <c r="D15" s="27">
        <v>32301</v>
      </c>
      <c r="E15" s="27" t="s">
        <v>686</v>
      </c>
      <c r="F15" s="27">
        <v>0</v>
      </c>
      <c r="G15" s="27" t="s">
        <v>686</v>
      </c>
      <c r="H15" s="27">
        <v>1</v>
      </c>
      <c r="I15" s="27" t="s">
        <v>686</v>
      </c>
      <c r="J15" s="27">
        <v>1</v>
      </c>
      <c r="K15" s="27" t="s">
        <v>686</v>
      </c>
      <c r="L15" s="27" t="s">
        <v>784</v>
      </c>
      <c r="M15" s="27" t="s">
        <v>773</v>
      </c>
      <c r="N15" s="27" t="s">
        <v>776</v>
      </c>
      <c r="O15" s="27" t="s">
        <v>686</v>
      </c>
      <c r="P15" s="27" t="s">
        <v>786</v>
      </c>
      <c r="Q15" s="27" t="s">
        <v>686</v>
      </c>
      <c r="R15" s="27" t="s">
        <v>246</v>
      </c>
      <c r="S15" s="27" t="s">
        <v>772</v>
      </c>
      <c r="T15" s="27" t="s">
        <v>768</v>
      </c>
      <c r="U15" s="27" t="s">
        <v>771</v>
      </c>
      <c r="V15" s="27" t="s">
        <v>685</v>
      </c>
      <c r="W15" s="27"/>
      <c r="X15" s="27" t="s">
        <v>761</v>
      </c>
    </row>
    <row r="16" spans="1:24" x14ac:dyDescent="0.25">
      <c r="A16" s="32" t="s">
        <v>688</v>
      </c>
      <c r="B16" s="32" t="s">
        <v>876</v>
      </c>
      <c r="C16" s="27" t="s">
        <v>771</v>
      </c>
      <c r="D16" s="27">
        <v>32302</v>
      </c>
      <c r="E16" s="27" t="s">
        <v>686</v>
      </c>
      <c r="F16" s="27">
        <v>0</v>
      </c>
      <c r="G16" s="27" t="s">
        <v>686</v>
      </c>
      <c r="H16" s="27">
        <v>2</v>
      </c>
      <c r="I16" s="27" t="s">
        <v>686</v>
      </c>
      <c r="J16" s="27">
        <v>2</v>
      </c>
      <c r="K16" s="27" t="s">
        <v>686</v>
      </c>
      <c r="L16" s="27" t="s">
        <v>784</v>
      </c>
      <c r="M16" s="27" t="s">
        <v>775</v>
      </c>
      <c r="N16" s="27" t="s">
        <v>776</v>
      </c>
      <c r="O16" s="27" t="s">
        <v>686</v>
      </c>
      <c r="P16" s="27" t="s">
        <v>786</v>
      </c>
      <c r="Q16" s="27" t="s">
        <v>686</v>
      </c>
      <c r="R16" s="27">
        <v>1</v>
      </c>
      <c r="S16" s="27" t="s">
        <v>772</v>
      </c>
      <c r="T16" s="27" t="s">
        <v>765</v>
      </c>
      <c r="U16" s="27" t="s">
        <v>771</v>
      </c>
      <c r="V16" s="27" t="s">
        <v>685</v>
      </c>
      <c r="W16" s="27" t="s">
        <v>907</v>
      </c>
      <c r="X16" s="27" t="s">
        <v>761</v>
      </c>
    </row>
    <row r="17" spans="1:24" x14ac:dyDescent="0.25">
      <c r="A17" s="31" t="s">
        <v>688</v>
      </c>
      <c r="B17" s="31" t="s">
        <v>877</v>
      </c>
      <c r="C17" s="7" t="s">
        <v>771</v>
      </c>
      <c r="D17" s="7">
        <v>33000</v>
      </c>
      <c r="E17" s="7" t="s">
        <v>686</v>
      </c>
      <c r="F17" s="7">
        <v>12</v>
      </c>
      <c r="G17" s="7" t="s">
        <v>686</v>
      </c>
      <c r="H17" s="7">
        <v>2</v>
      </c>
      <c r="I17" s="7" t="s">
        <v>686</v>
      </c>
      <c r="J17" s="7">
        <v>0</v>
      </c>
      <c r="K17" s="7" t="s">
        <v>686</v>
      </c>
      <c r="L17" s="7" t="s">
        <v>784</v>
      </c>
      <c r="M17" s="7" t="s">
        <v>773</v>
      </c>
      <c r="N17" s="7" t="s">
        <v>776</v>
      </c>
      <c r="O17" s="7" t="s">
        <v>686</v>
      </c>
      <c r="P17" s="7" t="s">
        <v>786</v>
      </c>
      <c r="Q17" s="7" t="s">
        <v>686</v>
      </c>
      <c r="R17" s="7" t="s">
        <v>246</v>
      </c>
      <c r="S17" s="7" t="s">
        <v>772</v>
      </c>
      <c r="T17" s="7" t="s">
        <v>21</v>
      </c>
      <c r="U17" s="7" t="s">
        <v>771</v>
      </c>
      <c r="V17" s="7" t="s">
        <v>685</v>
      </c>
      <c r="W17" s="7"/>
      <c r="X17" s="7" t="s">
        <v>761</v>
      </c>
    </row>
    <row r="18" spans="1:24" x14ac:dyDescent="0.25">
      <c r="A18" s="31" t="s">
        <v>688</v>
      </c>
      <c r="B18" s="31" t="s">
        <v>878</v>
      </c>
      <c r="C18" s="7" t="s">
        <v>771</v>
      </c>
      <c r="D18" s="7">
        <v>33002</v>
      </c>
      <c r="E18" s="7" t="s">
        <v>686</v>
      </c>
      <c r="F18" s="7">
        <v>0</v>
      </c>
      <c r="G18" s="7" t="s">
        <v>686</v>
      </c>
      <c r="H18" s="7">
        <v>2</v>
      </c>
      <c r="I18" s="7" t="s">
        <v>686</v>
      </c>
      <c r="J18" s="7">
        <v>2</v>
      </c>
      <c r="K18" s="7" t="s">
        <v>686</v>
      </c>
      <c r="L18" s="7" t="s">
        <v>784</v>
      </c>
      <c r="M18" s="7" t="s">
        <v>773</v>
      </c>
      <c r="N18" s="7" t="s">
        <v>776</v>
      </c>
      <c r="O18" s="7" t="s">
        <v>686</v>
      </c>
      <c r="P18" s="7" t="s">
        <v>786</v>
      </c>
      <c r="Q18" s="7" t="s">
        <v>686</v>
      </c>
      <c r="R18" s="7" t="s">
        <v>246</v>
      </c>
      <c r="S18" s="7" t="s">
        <v>772</v>
      </c>
      <c r="T18" s="7" t="s">
        <v>21</v>
      </c>
      <c r="U18" s="7" t="s">
        <v>771</v>
      </c>
      <c r="V18" s="7" t="s">
        <v>685</v>
      </c>
      <c r="W18" s="7"/>
      <c r="X18" s="7" t="s">
        <v>761</v>
      </c>
    </row>
    <row r="19" spans="1:24" x14ac:dyDescent="0.25">
      <c r="A19" s="31" t="s">
        <v>688</v>
      </c>
      <c r="B19" s="31" t="s">
        <v>879</v>
      </c>
      <c r="C19" s="7" t="s">
        <v>771</v>
      </c>
      <c r="D19" s="7">
        <v>33004</v>
      </c>
      <c r="E19" s="7" t="s">
        <v>686</v>
      </c>
      <c r="F19" s="7">
        <v>0</v>
      </c>
      <c r="G19" s="7" t="s">
        <v>686</v>
      </c>
      <c r="H19" s="7">
        <v>2</v>
      </c>
      <c r="I19" s="7" t="s">
        <v>686</v>
      </c>
      <c r="J19" s="7">
        <v>4</v>
      </c>
      <c r="K19" s="7" t="s">
        <v>686</v>
      </c>
      <c r="L19" s="7" t="s">
        <v>784</v>
      </c>
      <c r="M19" s="7" t="s">
        <v>773</v>
      </c>
      <c r="N19" s="7" t="s">
        <v>776</v>
      </c>
      <c r="O19" s="7" t="s">
        <v>686</v>
      </c>
      <c r="P19" s="7" t="s">
        <v>786</v>
      </c>
      <c r="Q19" s="7" t="s">
        <v>686</v>
      </c>
      <c r="R19" s="7" t="s">
        <v>246</v>
      </c>
      <c r="S19" s="7" t="s">
        <v>772</v>
      </c>
      <c r="T19" s="7" t="s">
        <v>21</v>
      </c>
      <c r="U19" s="7" t="s">
        <v>771</v>
      </c>
      <c r="V19" s="7" t="s">
        <v>685</v>
      </c>
      <c r="W19" s="7"/>
      <c r="X19" s="7" t="s">
        <v>761</v>
      </c>
    </row>
    <row r="20" spans="1:24" x14ac:dyDescent="0.25">
      <c r="A20" s="31" t="s">
        <v>688</v>
      </c>
      <c r="B20" s="31" t="s">
        <v>880</v>
      </c>
      <c r="C20" s="7" t="s">
        <v>771</v>
      </c>
      <c r="D20" s="7">
        <v>33006</v>
      </c>
      <c r="E20" s="7" t="s">
        <v>686</v>
      </c>
      <c r="F20" s="7">
        <v>0</v>
      </c>
      <c r="G20" s="7" t="s">
        <v>686</v>
      </c>
      <c r="H20" s="7">
        <v>2</v>
      </c>
      <c r="I20" s="7" t="s">
        <v>686</v>
      </c>
      <c r="J20" s="7">
        <v>6</v>
      </c>
      <c r="K20" s="7" t="s">
        <v>686</v>
      </c>
      <c r="L20" s="7" t="s">
        <v>784</v>
      </c>
      <c r="M20" s="7" t="s">
        <v>773</v>
      </c>
      <c r="N20" s="7" t="s">
        <v>776</v>
      </c>
      <c r="O20" s="7" t="s">
        <v>686</v>
      </c>
      <c r="P20" s="7" t="s">
        <v>786</v>
      </c>
      <c r="Q20" s="7" t="s">
        <v>686</v>
      </c>
      <c r="R20" s="7" t="s">
        <v>246</v>
      </c>
      <c r="S20" s="7" t="s">
        <v>772</v>
      </c>
      <c r="T20" s="7" t="s">
        <v>21</v>
      </c>
      <c r="U20" s="7" t="s">
        <v>771</v>
      </c>
      <c r="V20" s="7" t="s">
        <v>685</v>
      </c>
      <c r="W20" s="7"/>
      <c r="X20" s="7" t="s">
        <v>761</v>
      </c>
    </row>
    <row r="21" spans="1:24" x14ac:dyDescent="0.25">
      <c r="A21" s="31" t="s">
        <v>688</v>
      </c>
      <c r="B21" s="31" t="s">
        <v>881</v>
      </c>
      <c r="C21" s="7" t="s">
        <v>771</v>
      </c>
      <c r="D21" s="7">
        <v>33008</v>
      </c>
      <c r="E21" s="7" t="s">
        <v>686</v>
      </c>
      <c r="F21" s="7">
        <v>0</v>
      </c>
      <c r="G21" s="7" t="s">
        <v>686</v>
      </c>
      <c r="H21" s="7">
        <v>2</v>
      </c>
      <c r="I21" s="7" t="s">
        <v>686</v>
      </c>
      <c r="J21" s="7">
        <v>8</v>
      </c>
      <c r="K21" s="7" t="s">
        <v>686</v>
      </c>
      <c r="L21" s="7" t="s">
        <v>784</v>
      </c>
      <c r="M21" s="7" t="s">
        <v>773</v>
      </c>
      <c r="N21" s="7" t="s">
        <v>776</v>
      </c>
      <c r="O21" s="7" t="s">
        <v>686</v>
      </c>
      <c r="P21" s="7" t="s">
        <v>786</v>
      </c>
      <c r="Q21" s="7" t="s">
        <v>686</v>
      </c>
      <c r="R21" s="7" t="s">
        <v>246</v>
      </c>
      <c r="S21" s="7" t="s">
        <v>772</v>
      </c>
      <c r="T21" s="7" t="s">
        <v>21</v>
      </c>
      <c r="U21" s="7" t="s">
        <v>771</v>
      </c>
      <c r="V21" s="7" t="s">
        <v>685</v>
      </c>
      <c r="W21" s="7"/>
      <c r="X21" s="7" t="s">
        <v>761</v>
      </c>
    </row>
    <row r="22" spans="1:24" x14ac:dyDescent="0.25">
      <c r="A22" s="31" t="s">
        <v>688</v>
      </c>
      <c r="B22" s="31" t="s">
        <v>882</v>
      </c>
      <c r="C22" s="7" t="s">
        <v>771</v>
      </c>
      <c r="D22" s="7">
        <v>33010</v>
      </c>
      <c r="E22" s="7" t="s">
        <v>686</v>
      </c>
      <c r="F22" s="7">
        <v>0</v>
      </c>
      <c r="G22" s="7" t="s">
        <v>686</v>
      </c>
      <c r="H22" s="7">
        <v>2</v>
      </c>
      <c r="I22" s="7" t="s">
        <v>686</v>
      </c>
      <c r="J22" s="7">
        <v>10</v>
      </c>
      <c r="K22" s="7" t="s">
        <v>686</v>
      </c>
      <c r="L22" s="7" t="s">
        <v>784</v>
      </c>
      <c r="M22" s="7" t="s">
        <v>773</v>
      </c>
      <c r="N22" s="7" t="s">
        <v>776</v>
      </c>
      <c r="O22" s="7" t="s">
        <v>686</v>
      </c>
      <c r="P22" s="7" t="s">
        <v>786</v>
      </c>
      <c r="Q22" s="7" t="s">
        <v>686</v>
      </c>
      <c r="R22" s="7" t="s">
        <v>246</v>
      </c>
      <c r="S22" s="7" t="s">
        <v>772</v>
      </c>
      <c r="T22" s="7" t="s">
        <v>21</v>
      </c>
      <c r="U22" s="7" t="s">
        <v>771</v>
      </c>
      <c r="V22" s="7" t="s">
        <v>685</v>
      </c>
      <c r="W22" s="7"/>
      <c r="X22" s="7" t="s">
        <v>761</v>
      </c>
    </row>
    <row r="23" spans="1:24" x14ac:dyDescent="0.25">
      <c r="A23" s="32" t="s">
        <v>688</v>
      </c>
      <c r="B23" s="32" t="s">
        <v>883</v>
      </c>
      <c r="C23" s="27" t="s">
        <v>771</v>
      </c>
      <c r="D23" s="27">
        <v>35000</v>
      </c>
      <c r="E23" s="27" t="s">
        <v>686</v>
      </c>
      <c r="F23" s="27">
        <v>3</v>
      </c>
      <c r="G23" s="27" t="s">
        <v>686</v>
      </c>
      <c r="H23" s="27">
        <v>1</v>
      </c>
      <c r="I23" s="27" t="s">
        <v>686</v>
      </c>
      <c r="J23" s="27">
        <v>0</v>
      </c>
      <c r="K23" s="27" t="s">
        <v>686</v>
      </c>
      <c r="L23" s="27" t="s">
        <v>784</v>
      </c>
      <c r="M23" s="27" t="s">
        <v>773</v>
      </c>
      <c r="N23" s="27" t="s">
        <v>776</v>
      </c>
      <c r="O23" s="27" t="s">
        <v>686</v>
      </c>
      <c r="P23" s="27" t="s">
        <v>786</v>
      </c>
      <c r="Q23" s="27" t="s">
        <v>686</v>
      </c>
      <c r="R23" s="27" t="s">
        <v>770</v>
      </c>
      <c r="S23" s="27" t="s">
        <v>772</v>
      </c>
      <c r="T23" s="27" t="s">
        <v>762</v>
      </c>
      <c r="U23" s="27" t="s">
        <v>771</v>
      </c>
      <c r="V23" s="27" t="s">
        <v>685</v>
      </c>
      <c r="W23" s="27"/>
      <c r="X23" s="27" t="s">
        <v>761</v>
      </c>
    </row>
    <row r="24" spans="1:24" x14ac:dyDescent="0.25">
      <c r="A24" s="32" t="s">
        <v>688</v>
      </c>
      <c r="B24" s="32" t="s">
        <v>884</v>
      </c>
      <c r="C24" s="27" t="s">
        <v>771</v>
      </c>
      <c r="D24" s="27">
        <v>35001</v>
      </c>
      <c r="E24" s="27" t="s">
        <v>686</v>
      </c>
      <c r="F24" s="27">
        <v>0</v>
      </c>
      <c r="G24" s="27" t="s">
        <v>686</v>
      </c>
      <c r="H24" s="27">
        <v>1</v>
      </c>
      <c r="I24" s="27" t="s">
        <v>686</v>
      </c>
      <c r="J24" s="27">
        <v>1</v>
      </c>
      <c r="K24" s="27" t="s">
        <v>686</v>
      </c>
      <c r="L24" s="27" t="s">
        <v>784</v>
      </c>
      <c r="M24" s="27" t="s">
        <v>773</v>
      </c>
      <c r="N24" s="27" t="s">
        <v>776</v>
      </c>
      <c r="O24" s="27" t="s">
        <v>686</v>
      </c>
      <c r="P24" s="27" t="s">
        <v>786</v>
      </c>
      <c r="Q24" s="27" t="s">
        <v>686</v>
      </c>
      <c r="R24" s="27" t="s">
        <v>770</v>
      </c>
      <c r="S24" s="27" t="s">
        <v>772</v>
      </c>
      <c r="T24" s="27" t="s">
        <v>762</v>
      </c>
      <c r="U24" s="27" t="s">
        <v>771</v>
      </c>
      <c r="V24" s="27" t="s">
        <v>685</v>
      </c>
      <c r="W24" s="27"/>
      <c r="X24" s="27" t="s">
        <v>761</v>
      </c>
    </row>
    <row r="25" spans="1:24" x14ac:dyDescent="0.25">
      <c r="A25" s="32" t="s">
        <v>688</v>
      </c>
      <c r="B25" s="32" t="s">
        <v>885</v>
      </c>
      <c r="C25" s="27" t="s">
        <v>771</v>
      </c>
      <c r="D25" s="27">
        <v>35002</v>
      </c>
      <c r="E25" s="27" t="s">
        <v>686</v>
      </c>
      <c r="F25" s="27">
        <v>0</v>
      </c>
      <c r="G25" s="27" t="s">
        <v>686</v>
      </c>
      <c r="H25" s="27">
        <v>1</v>
      </c>
      <c r="I25" s="27" t="s">
        <v>686</v>
      </c>
      <c r="J25" s="27">
        <v>2</v>
      </c>
      <c r="K25" s="27" t="s">
        <v>686</v>
      </c>
      <c r="L25" s="27" t="s">
        <v>784</v>
      </c>
      <c r="M25" s="27" t="s">
        <v>773</v>
      </c>
      <c r="N25" s="27" t="s">
        <v>776</v>
      </c>
      <c r="O25" s="27" t="s">
        <v>686</v>
      </c>
      <c r="P25" s="27" t="s">
        <v>786</v>
      </c>
      <c r="Q25" s="27" t="s">
        <v>686</v>
      </c>
      <c r="R25" s="27" t="s">
        <v>770</v>
      </c>
      <c r="S25" s="27" t="s">
        <v>772</v>
      </c>
      <c r="T25" s="27" t="s">
        <v>762</v>
      </c>
      <c r="U25" s="27" t="s">
        <v>771</v>
      </c>
      <c r="V25" s="27" t="s">
        <v>685</v>
      </c>
      <c r="W25" s="27"/>
      <c r="X25" s="27" t="s">
        <v>761</v>
      </c>
    </row>
    <row r="26" spans="1:24" x14ac:dyDescent="0.25">
      <c r="A26" s="31" t="s">
        <v>688</v>
      </c>
      <c r="B26" s="31" t="s">
        <v>886</v>
      </c>
      <c r="C26" s="7" t="s">
        <v>771</v>
      </c>
      <c r="D26" s="7">
        <v>35010</v>
      </c>
      <c r="E26" s="7" t="s">
        <v>686</v>
      </c>
      <c r="F26" s="7">
        <v>2</v>
      </c>
      <c r="G26" s="7" t="s">
        <v>686</v>
      </c>
      <c r="H26" s="7">
        <v>1</v>
      </c>
      <c r="I26" s="7" t="s">
        <v>686</v>
      </c>
      <c r="J26" s="7">
        <v>0</v>
      </c>
      <c r="K26" s="7" t="s">
        <v>686</v>
      </c>
      <c r="L26" s="7" t="s">
        <v>784</v>
      </c>
      <c r="M26" s="7" t="s">
        <v>773</v>
      </c>
      <c r="N26" s="7" t="s">
        <v>776</v>
      </c>
      <c r="O26" s="7" t="s">
        <v>686</v>
      </c>
      <c r="P26" s="7" t="s">
        <v>786</v>
      </c>
      <c r="Q26" s="7" t="s">
        <v>686</v>
      </c>
      <c r="R26" s="7" t="s">
        <v>770</v>
      </c>
      <c r="S26" s="7" t="s">
        <v>772</v>
      </c>
      <c r="T26" s="7" t="s">
        <v>762</v>
      </c>
      <c r="U26" s="7" t="s">
        <v>771</v>
      </c>
      <c r="V26" s="7" t="s">
        <v>685</v>
      </c>
      <c r="W26" s="7"/>
      <c r="X26" s="7" t="s">
        <v>761</v>
      </c>
    </row>
    <row r="27" spans="1:24" x14ac:dyDescent="0.25">
      <c r="A27" s="31" t="s">
        <v>688</v>
      </c>
      <c r="B27" s="31" t="s">
        <v>887</v>
      </c>
      <c r="C27" s="7" t="s">
        <v>771</v>
      </c>
      <c r="D27" s="7">
        <v>35011</v>
      </c>
      <c r="E27" s="7" t="s">
        <v>686</v>
      </c>
      <c r="F27" s="7">
        <v>0</v>
      </c>
      <c r="G27" s="7" t="s">
        <v>686</v>
      </c>
      <c r="H27" s="7">
        <v>1</v>
      </c>
      <c r="I27" s="7" t="s">
        <v>686</v>
      </c>
      <c r="J27" s="7">
        <v>1</v>
      </c>
      <c r="K27" s="7" t="s">
        <v>686</v>
      </c>
      <c r="L27" s="7" t="s">
        <v>784</v>
      </c>
      <c r="M27" s="7" t="s">
        <v>773</v>
      </c>
      <c r="N27" s="7" t="s">
        <v>776</v>
      </c>
      <c r="O27" s="7" t="s">
        <v>686</v>
      </c>
      <c r="P27" s="7" t="s">
        <v>786</v>
      </c>
      <c r="Q27" s="7" t="s">
        <v>686</v>
      </c>
      <c r="R27" s="7" t="s">
        <v>770</v>
      </c>
      <c r="S27" s="7" t="s">
        <v>772</v>
      </c>
      <c r="T27" s="7" t="s">
        <v>762</v>
      </c>
      <c r="U27" s="7" t="s">
        <v>771</v>
      </c>
      <c r="V27" s="7" t="s">
        <v>685</v>
      </c>
      <c r="W27" s="7"/>
      <c r="X27" s="7" t="s">
        <v>761</v>
      </c>
    </row>
    <row r="28" spans="1:24" x14ac:dyDescent="0.25">
      <c r="A28" s="32" t="s">
        <v>688</v>
      </c>
      <c r="B28" s="32" t="s">
        <v>888</v>
      </c>
      <c r="C28" s="27" t="s">
        <v>771</v>
      </c>
      <c r="D28" s="27">
        <v>35100</v>
      </c>
      <c r="E28" s="27" t="s">
        <v>686</v>
      </c>
      <c r="F28" s="27">
        <v>1</v>
      </c>
      <c r="G28" s="27" t="s">
        <v>686</v>
      </c>
      <c r="H28" s="27">
        <v>1</v>
      </c>
      <c r="I28" s="27" t="s">
        <v>686</v>
      </c>
      <c r="J28" s="27">
        <v>0</v>
      </c>
      <c r="K28" s="27" t="s">
        <v>686</v>
      </c>
      <c r="L28" s="27" t="s">
        <v>784</v>
      </c>
      <c r="M28" s="27" t="s">
        <v>773</v>
      </c>
      <c r="N28" s="27" t="s">
        <v>776</v>
      </c>
      <c r="O28" s="27" t="s">
        <v>686</v>
      </c>
      <c r="P28" s="27" t="s">
        <v>786</v>
      </c>
      <c r="Q28" s="27" t="s">
        <v>686</v>
      </c>
      <c r="R28" s="27">
        <v>1</v>
      </c>
      <c r="S28" s="27" t="s">
        <v>772</v>
      </c>
      <c r="T28" s="27" t="s">
        <v>777</v>
      </c>
      <c r="U28" s="27" t="s">
        <v>771</v>
      </c>
      <c r="V28" s="27" t="s">
        <v>685</v>
      </c>
      <c r="W28" s="27"/>
      <c r="X28" s="27" t="s">
        <v>761</v>
      </c>
    </row>
    <row r="29" spans="1:24" x14ac:dyDescent="0.25">
      <c r="A29" s="31" t="s">
        <v>688</v>
      </c>
      <c r="B29" s="31" t="s">
        <v>889</v>
      </c>
      <c r="C29" s="7" t="s">
        <v>771</v>
      </c>
      <c r="D29" s="7">
        <v>35110</v>
      </c>
      <c r="E29" s="7" t="s">
        <v>686</v>
      </c>
      <c r="F29" s="7">
        <v>3</v>
      </c>
      <c r="G29" s="7" t="s">
        <v>686</v>
      </c>
      <c r="H29" s="7">
        <v>1</v>
      </c>
      <c r="I29" s="7" t="s">
        <v>686</v>
      </c>
      <c r="J29" s="7">
        <v>0</v>
      </c>
      <c r="K29" s="7" t="s">
        <v>686</v>
      </c>
      <c r="L29" s="7" t="s">
        <v>784</v>
      </c>
      <c r="M29" s="7" t="s">
        <v>773</v>
      </c>
      <c r="N29" s="7" t="s">
        <v>776</v>
      </c>
      <c r="O29" s="7" t="s">
        <v>686</v>
      </c>
      <c r="P29" s="7" t="s">
        <v>786</v>
      </c>
      <c r="Q29" s="7" t="s">
        <v>686</v>
      </c>
      <c r="R29" s="7">
        <v>100</v>
      </c>
      <c r="S29" s="7" t="s">
        <v>772</v>
      </c>
      <c r="T29" s="7" t="s">
        <v>763</v>
      </c>
      <c r="U29" s="7" t="s">
        <v>771</v>
      </c>
      <c r="V29" s="7" t="s">
        <v>685</v>
      </c>
      <c r="W29" s="7"/>
      <c r="X29" s="7" t="s">
        <v>761</v>
      </c>
    </row>
    <row r="30" spans="1:24" x14ac:dyDescent="0.25">
      <c r="A30" s="31" t="s">
        <v>688</v>
      </c>
      <c r="B30" s="31" t="s">
        <v>890</v>
      </c>
      <c r="C30" s="7" t="s">
        <v>771</v>
      </c>
      <c r="D30" s="7">
        <v>35111</v>
      </c>
      <c r="E30" s="7" t="s">
        <v>686</v>
      </c>
      <c r="F30" s="7">
        <v>0</v>
      </c>
      <c r="G30" s="7" t="s">
        <v>686</v>
      </c>
      <c r="H30" s="7">
        <v>1</v>
      </c>
      <c r="I30" s="7" t="s">
        <v>686</v>
      </c>
      <c r="J30" s="7">
        <v>1</v>
      </c>
      <c r="K30" s="7" t="s">
        <v>686</v>
      </c>
      <c r="L30" s="7" t="s">
        <v>784</v>
      </c>
      <c r="M30" s="7" t="s">
        <v>773</v>
      </c>
      <c r="N30" s="7" t="s">
        <v>776</v>
      </c>
      <c r="O30" s="7" t="s">
        <v>686</v>
      </c>
      <c r="P30" s="7" t="s">
        <v>786</v>
      </c>
      <c r="Q30" s="7" t="s">
        <v>686</v>
      </c>
      <c r="R30" s="7">
        <v>100</v>
      </c>
      <c r="S30" s="7" t="s">
        <v>772</v>
      </c>
      <c r="T30" s="7" t="s">
        <v>764</v>
      </c>
      <c r="U30" s="7" t="s">
        <v>771</v>
      </c>
      <c r="V30" s="7" t="s">
        <v>685</v>
      </c>
      <c r="W30" s="7"/>
      <c r="X30" s="7" t="s">
        <v>761</v>
      </c>
    </row>
    <row r="31" spans="1:24" x14ac:dyDescent="0.25">
      <c r="A31" s="31" t="s">
        <v>688</v>
      </c>
      <c r="B31" s="31" t="s">
        <v>891</v>
      </c>
      <c r="C31" s="7" t="s">
        <v>771</v>
      </c>
      <c r="D31" s="7">
        <v>35112</v>
      </c>
      <c r="E31" s="7" t="s">
        <v>686</v>
      </c>
      <c r="F31" s="7">
        <v>0</v>
      </c>
      <c r="G31" s="7" t="s">
        <v>686</v>
      </c>
      <c r="H31" s="7">
        <v>1</v>
      </c>
      <c r="I31" s="7" t="s">
        <v>686</v>
      </c>
      <c r="J31" s="7">
        <v>2</v>
      </c>
      <c r="K31" s="7" t="s">
        <v>686</v>
      </c>
      <c r="L31" s="7" t="s">
        <v>784</v>
      </c>
      <c r="M31" s="7" t="s">
        <v>773</v>
      </c>
      <c r="N31" s="7" t="s">
        <v>776</v>
      </c>
      <c r="O31" s="7" t="s">
        <v>686</v>
      </c>
      <c r="P31" s="7" t="s">
        <v>786</v>
      </c>
      <c r="Q31" s="7" t="s">
        <v>686</v>
      </c>
      <c r="R31" s="7">
        <v>100</v>
      </c>
      <c r="S31" s="7" t="s">
        <v>772</v>
      </c>
      <c r="T31" s="7" t="s">
        <v>764</v>
      </c>
      <c r="U31" s="7" t="s">
        <v>771</v>
      </c>
      <c r="V31" s="7" t="s">
        <v>685</v>
      </c>
      <c r="W31" s="7"/>
      <c r="X31" s="7" t="s">
        <v>761</v>
      </c>
    </row>
    <row r="32" spans="1:24" x14ac:dyDescent="0.25">
      <c r="A32" s="32" t="s">
        <v>688</v>
      </c>
      <c r="B32" s="32" t="s">
        <v>892</v>
      </c>
      <c r="C32" s="27" t="s">
        <v>771</v>
      </c>
      <c r="D32" s="27">
        <v>36000</v>
      </c>
      <c r="E32" s="27" t="s">
        <v>686</v>
      </c>
      <c r="F32" s="27">
        <v>1</v>
      </c>
      <c r="G32" s="27" t="s">
        <v>686</v>
      </c>
      <c r="H32" s="27">
        <v>1</v>
      </c>
      <c r="I32" s="27" t="s">
        <v>686</v>
      </c>
      <c r="J32" s="27">
        <v>0</v>
      </c>
      <c r="K32" s="27" t="s">
        <v>686</v>
      </c>
      <c r="L32" s="27" t="s">
        <v>784</v>
      </c>
      <c r="M32" s="27" t="s">
        <v>778</v>
      </c>
      <c r="N32" s="27" t="s">
        <v>776</v>
      </c>
      <c r="O32" s="27" t="s">
        <v>686</v>
      </c>
      <c r="P32" s="27" t="s">
        <v>786</v>
      </c>
      <c r="Q32" s="27" t="s">
        <v>686</v>
      </c>
      <c r="R32" s="27">
        <v>1</v>
      </c>
      <c r="S32" s="27" t="s">
        <v>772</v>
      </c>
      <c r="T32" s="27" t="s">
        <v>777</v>
      </c>
      <c r="U32" s="27" t="s">
        <v>771</v>
      </c>
      <c r="V32" s="27" t="s">
        <v>685</v>
      </c>
      <c r="W32" s="27"/>
      <c r="X32" s="27" t="s">
        <v>761</v>
      </c>
    </row>
    <row r="33" spans="1:24" x14ac:dyDescent="0.25">
      <c r="A33" s="31" t="s">
        <v>688</v>
      </c>
      <c r="B33" s="31" t="s">
        <v>893</v>
      </c>
      <c r="C33" s="7" t="s">
        <v>771</v>
      </c>
      <c r="D33" s="7">
        <v>36100</v>
      </c>
      <c r="E33" s="7" t="s">
        <v>686</v>
      </c>
      <c r="F33" s="7">
        <v>1</v>
      </c>
      <c r="G33" s="7" t="s">
        <v>686</v>
      </c>
      <c r="H33" s="7">
        <v>2</v>
      </c>
      <c r="I33" s="7" t="s">
        <v>686</v>
      </c>
      <c r="J33" s="7">
        <v>0</v>
      </c>
      <c r="K33" s="7" t="s">
        <v>686</v>
      </c>
      <c r="L33" s="7" t="s">
        <v>784</v>
      </c>
      <c r="M33" s="7" t="s">
        <v>778</v>
      </c>
      <c r="N33" s="7" t="s">
        <v>776</v>
      </c>
      <c r="O33" s="7" t="s">
        <v>686</v>
      </c>
      <c r="P33" s="7" t="s">
        <v>786</v>
      </c>
      <c r="Q33" s="7" t="s">
        <v>686</v>
      </c>
      <c r="R33" s="7">
        <v>1</v>
      </c>
      <c r="S33" s="7" t="s">
        <v>772</v>
      </c>
      <c r="T33" s="7" t="s">
        <v>777</v>
      </c>
      <c r="U33" s="7" t="s">
        <v>771</v>
      </c>
      <c r="V33" s="7" t="s">
        <v>685</v>
      </c>
      <c r="W33" s="7"/>
      <c r="X33" s="7" t="s">
        <v>761</v>
      </c>
    </row>
    <row r="34" spans="1:24" x14ac:dyDescent="0.25">
      <c r="A34" s="32" t="s">
        <v>688</v>
      </c>
      <c r="B34" s="32" t="s">
        <v>894</v>
      </c>
      <c r="C34" s="27" t="s">
        <v>771</v>
      </c>
      <c r="D34" s="27">
        <v>41000</v>
      </c>
      <c r="E34" s="27" t="s">
        <v>686</v>
      </c>
      <c r="F34" s="27">
        <v>1</v>
      </c>
      <c r="G34" s="27" t="s">
        <v>686</v>
      </c>
      <c r="H34" s="27">
        <v>1</v>
      </c>
      <c r="I34" s="27" t="s">
        <v>686</v>
      </c>
      <c r="J34" s="27">
        <v>0</v>
      </c>
      <c r="K34" s="27" t="s">
        <v>686</v>
      </c>
      <c r="L34" s="27" t="s">
        <v>785</v>
      </c>
      <c r="M34" s="27" t="s">
        <v>773</v>
      </c>
      <c r="N34" s="27" t="s">
        <v>776</v>
      </c>
      <c r="O34" s="27" t="s">
        <v>686</v>
      </c>
      <c r="P34" s="27" t="s">
        <v>786</v>
      </c>
      <c r="Q34" s="27" t="s">
        <v>686</v>
      </c>
      <c r="R34" s="27">
        <v>1</v>
      </c>
      <c r="S34" s="27" t="s">
        <v>772</v>
      </c>
      <c r="T34" s="27" t="s">
        <v>777</v>
      </c>
      <c r="U34" s="27" t="s">
        <v>771</v>
      </c>
      <c r="V34" s="27" t="s">
        <v>685</v>
      </c>
      <c r="W34" s="27"/>
      <c r="X34" s="27" t="s">
        <v>761</v>
      </c>
    </row>
    <row r="35" spans="1:24" x14ac:dyDescent="0.25">
      <c r="A35" s="31" t="s">
        <v>688</v>
      </c>
      <c r="B35" s="31" t="s">
        <v>895</v>
      </c>
      <c r="C35" s="7" t="s">
        <v>771</v>
      </c>
      <c r="D35" s="7">
        <v>41100</v>
      </c>
      <c r="E35" s="7" t="s">
        <v>686</v>
      </c>
      <c r="F35" s="7">
        <v>1</v>
      </c>
      <c r="G35" s="7" t="s">
        <v>686</v>
      </c>
      <c r="H35" s="7">
        <v>1</v>
      </c>
      <c r="I35" s="7" t="s">
        <v>686</v>
      </c>
      <c r="J35" s="7">
        <v>0</v>
      </c>
      <c r="K35" s="7" t="s">
        <v>686</v>
      </c>
      <c r="L35" s="7" t="s">
        <v>785</v>
      </c>
      <c r="M35" s="7" t="s">
        <v>773</v>
      </c>
      <c r="N35" s="7" t="s">
        <v>776</v>
      </c>
      <c r="O35" s="7" t="s">
        <v>686</v>
      </c>
      <c r="P35" s="7" t="s">
        <v>786</v>
      </c>
      <c r="Q35" s="7" t="s">
        <v>686</v>
      </c>
      <c r="R35" s="7">
        <v>1</v>
      </c>
      <c r="S35" s="7" t="s">
        <v>772</v>
      </c>
      <c r="T35" s="7" t="s">
        <v>777</v>
      </c>
      <c r="U35" s="7" t="s">
        <v>771</v>
      </c>
      <c r="V35" s="7" t="s">
        <v>685</v>
      </c>
      <c r="W35" s="7"/>
      <c r="X35" s="7" t="s">
        <v>761</v>
      </c>
    </row>
    <row r="36" spans="1:24" x14ac:dyDescent="0.25">
      <c r="A36" s="32" t="s">
        <v>688</v>
      </c>
      <c r="B36" s="32" t="s">
        <v>896</v>
      </c>
      <c r="C36" s="27" t="s">
        <v>771</v>
      </c>
      <c r="D36" s="27">
        <v>41200</v>
      </c>
      <c r="E36" s="27" t="s">
        <v>686</v>
      </c>
      <c r="F36" s="27">
        <v>1</v>
      </c>
      <c r="G36" s="27" t="s">
        <v>686</v>
      </c>
      <c r="H36" s="27">
        <v>1</v>
      </c>
      <c r="I36" s="27" t="s">
        <v>686</v>
      </c>
      <c r="J36" s="27">
        <v>0</v>
      </c>
      <c r="K36" s="27" t="s">
        <v>686</v>
      </c>
      <c r="L36" s="27" t="s">
        <v>785</v>
      </c>
      <c r="M36" s="27" t="s">
        <v>773</v>
      </c>
      <c r="N36" s="27" t="s">
        <v>776</v>
      </c>
      <c r="O36" s="27" t="s">
        <v>686</v>
      </c>
      <c r="P36" s="27" t="s">
        <v>786</v>
      </c>
      <c r="Q36" s="27" t="s">
        <v>686</v>
      </c>
      <c r="R36" s="27">
        <v>1</v>
      </c>
      <c r="S36" s="27" t="s">
        <v>772</v>
      </c>
      <c r="T36" s="27" t="s">
        <v>777</v>
      </c>
      <c r="U36" s="27" t="s">
        <v>771</v>
      </c>
      <c r="V36" s="27" t="s">
        <v>685</v>
      </c>
      <c r="W36" s="27"/>
      <c r="X36" s="27" t="s">
        <v>761</v>
      </c>
    </row>
    <row r="37" spans="1:24" x14ac:dyDescent="0.25">
      <c r="A37" s="31" t="s">
        <v>688</v>
      </c>
      <c r="B37" s="31" t="s">
        <v>897</v>
      </c>
      <c r="C37" s="7" t="s">
        <v>771</v>
      </c>
      <c r="D37" s="7">
        <v>42000</v>
      </c>
      <c r="E37" s="7" t="s">
        <v>686</v>
      </c>
      <c r="F37" s="7">
        <v>1</v>
      </c>
      <c r="G37" s="7" t="s">
        <v>686</v>
      </c>
      <c r="H37" s="7">
        <v>1</v>
      </c>
      <c r="I37" s="7" t="s">
        <v>686</v>
      </c>
      <c r="J37" s="7">
        <v>0</v>
      </c>
      <c r="K37" s="7" t="s">
        <v>686</v>
      </c>
      <c r="L37" s="7" t="s">
        <v>785</v>
      </c>
      <c r="M37" s="7" t="s">
        <v>773</v>
      </c>
      <c r="N37" s="7" t="s">
        <v>776</v>
      </c>
      <c r="O37" s="7" t="s">
        <v>686</v>
      </c>
      <c r="P37" s="7" t="s">
        <v>786</v>
      </c>
      <c r="Q37" s="7" t="s">
        <v>686</v>
      </c>
      <c r="R37" s="7">
        <v>1</v>
      </c>
      <c r="S37" s="7" t="s">
        <v>772</v>
      </c>
      <c r="T37" s="7" t="s">
        <v>777</v>
      </c>
      <c r="U37" s="7" t="s">
        <v>771</v>
      </c>
      <c r="V37" s="7" t="s">
        <v>685</v>
      </c>
      <c r="W37" s="7"/>
      <c r="X37" s="7" t="s">
        <v>761</v>
      </c>
    </row>
    <row r="38" spans="1:24" x14ac:dyDescent="0.25">
      <c r="A38" s="32" t="s">
        <v>688</v>
      </c>
      <c r="B38" s="32" t="s">
        <v>888</v>
      </c>
      <c r="C38" s="27" t="s">
        <v>771</v>
      </c>
      <c r="D38" s="27">
        <v>42010</v>
      </c>
      <c r="E38" s="27" t="s">
        <v>686</v>
      </c>
      <c r="F38" s="27">
        <v>2</v>
      </c>
      <c r="G38" s="27" t="s">
        <v>686</v>
      </c>
      <c r="H38" s="27">
        <v>1</v>
      </c>
      <c r="I38" s="27" t="s">
        <v>686</v>
      </c>
      <c r="J38" s="27">
        <v>0</v>
      </c>
      <c r="K38" s="27" t="s">
        <v>686</v>
      </c>
      <c r="L38" s="27" t="s">
        <v>785</v>
      </c>
      <c r="M38" s="27" t="s">
        <v>773</v>
      </c>
      <c r="N38" s="27" t="s">
        <v>776</v>
      </c>
      <c r="O38" s="27" t="s">
        <v>686</v>
      </c>
      <c r="P38" s="27" t="s">
        <v>786</v>
      </c>
      <c r="Q38" s="27" t="s">
        <v>686</v>
      </c>
      <c r="R38" s="27">
        <v>1</v>
      </c>
      <c r="S38" s="27" t="s">
        <v>772</v>
      </c>
      <c r="T38" s="27" t="s">
        <v>777</v>
      </c>
      <c r="U38" s="27" t="s">
        <v>771</v>
      </c>
      <c r="V38" s="27" t="s">
        <v>685</v>
      </c>
      <c r="W38" s="27"/>
      <c r="X38" s="27" t="s">
        <v>761</v>
      </c>
    </row>
    <row r="39" spans="1:24" x14ac:dyDescent="0.25">
      <c r="A39" s="32" t="s">
        <v>688</v>
      </c>
      <c r="B39" s="32" t="s">
        <v>898</v>
      </c>
      <c r="C39" s="27" t="s">
        <v>771</v>
      </c>
      <c r="D39" s="27">
        <v>42011</v>
      </c>
      <c r="E39" s="27" t="s">
        <v>686</v>
      </c>
      <c r="F39" s="27">
        <v>0</v>
      </c>
      <c r="G39" s="27" t="s">
        <v>686</v>
      </c>
      <c r="H39" s="27">
        <v>1</v>
      </c>
      <c r="I39" s="27" t="s">
        <v>686</v>
      </c>
      <c r="J39" s="27">
        <v>1</v>
      </c>
      <c r="K39" s="27" t="s">
        <v>686</v>
      </c>
      <c r="L39" s="27" t="s">
        <v>785</v>
      </c>
      <c r="M39" s="27" t="s">
        <v>773</v>
      </c>
      <c r="N39" s="27" t="s">
        <v>776</v>
      </c>
      <c r="O39" s="27" t="s">
        <v>686</v>
      </c>
      <c r="P39" s="27" t="s">
        <v>786</v>
      </c>
      <c r="Q39" s="27" t="s">
        <v>686</v>
      </c>
      <c r="R39" s="27" t="s">
        <v>246</v>
      </c>
      <c r="S39" s="27" t="s">
        <v>772</v>
      </c>
      <c r="T39" s="27" t="s">
        <v>777</v>
      </c>
      <c r="U39" s="27" t="s">
        <v>771</v>
      </c>
      <c r="V39" s="27" t="s">
        <v>685</v>
      </c>
      <c r="W39" s="27"/>
      <c r="X39" s="27" t="s">
        <v>761</v>
      </c>
    </row>
    <row r="40" spans="1:24" x14ac:dyDescent="0.25">
      <c r="A40" s="31" t="s">
        <v>688</v>
      </c>
      <c r="B40" s="31" t="s">
        <v>899</v>
      </c>
      <c r="C40" s="7" t="s">
        <v>771</v>
      </c>
      <c r="D40" s="7">
        <v>42020</v>
      </c>
      <c r="E40" s="7" t="s">
        <v>686</v>
      </c>
      <c r="F40" s="7">
        <v>2</v>
      </c>
      <c r="G40" s="7" t="s">
        <v>686</v>
      </c>
      <c r="H40" s="7">
        <v>1</v>
      </c>
      <c r="I40" s="7" t="s">
        <v>686</v>
      </c>
      <c r="J40" s="7">
        <v>0</v>
      </c>
      <c r="K40" s="7" t="s">
        <v>686</v>
      </c>
      <c r="L40" s="7" t="s">
        <v>785</v>
      </c>
      <c r="M40" s="7" t="s">
        <v>773</v>
      </c>
      <c r="N40" s="7" t="s">
        <v>776</v>
      </c>
      <c r="O40" s="7" t="s">
        <v>686</v>
      </c>
      <c r="P40" s="7" t="s">
        <v>786</v>
      </c>
      <c r="Q40" s="7" t="s">
        <v>686</v>
      </c>
      <c r="R40" s="7">
        <v>1</v>
      </c>
      <c r="S40" s="7" t="s">
        <v>772</v>
      </c>
      <c r="T40" s="7" t="s">
        <v>765</v>
      </c>
      <c r="U40" s="7" t="s">
        <v>771</v>
      </c>
      <c r="V40" s="7" t="s">
        <v>685</v>
      </c>
      <c r="W40" s="7"/>
      <c r="X40" s="7" t="s">
        <v>761</v>
      </c>
    </row>
    <row r="41" spans="1:24" x14ac:dyDescent="0.25">
      <c r="A41" s="31" t="s">
        <v>688</v>
      </c>
      <c r="B41" s="31" t="s">
        <v>900</v>
      </c>
      <c r="C41" s="7" t="s">
        <v>771</v>
      </c>
      <c r="D41" s="7">
        <v>42021</v>
      </c>
      <c r="E41" s="7" t="s">
        <v>686</v>
      </c>
      <c r="F41" s="7">
        <v>0</v>
      </c>
      <c r="G41" s="7" t="s">
        <v>686</v>
      </c>
      <c r="H41" s="7">
        <v>1</v>
      </c>
      <c r="I41" s="7" t="s">
        <v>686</v>
      </c>
      <c r="J41" s="7">
        <v>1</v>
      </c>
      <c r="K41" s="7" t="s">
        <v>686</v>
      </c>
      <c r="L41" s="7" t="s">
        <v>785</v>
      </c>
      <c r="M41" s="7" t="s">
        <v>773</v>
      </c>
      <c r="N41" s="7" t="s">
        <v>776</v>
      </c>
      <c r="O41" s="7" t="s">
        <v>686</v>
      </c>
      <c r="P41" s="7" t="s">
        <v>786</v>
      </c>
      <c r="Q41" s="7" t="s">
        <v>686</v>
      </c>
      <c r="R41" s="7">
        <v>1</v>
      </c>
      <c r="S41" s="7" t="s">
        <v>772</v>
      </c>
      <c r="T41" s="7" t="s">
        <v>765</v>
      </c>
      <c r="U41" s="7" t="s">
        <v>771</v>
      </c>
      <c r="V41" s="7" t="s">
        <v>685</v>
      </c>
      <c r="W41" s="7"/>
      <c r="X41" s="7" t="s">
        <v>761</v>
      </c>
    </row>
    <row r="42" spans="1:24" x14ac:dyDescent="0.25">
      <c r="A42" s="32" t="s">
        <v>688</v>
      </c>
      <c r="B42" s="32" t="s">
        <v>901</v>
      </c>
      <c r="C42" s="27" t="s">
        <v>771</v>
      </c>
      <c r="D42" s="27">
        <v>43000</v>
      </c>
      <c r="E42" s="27" t="s">
        <v>686</v>
      </c>
      <c r="F42" s="27">
        <v>1</v>
      </c>
      <c r="G42" s="27" t="s">
        <v>686</v>
      </c>
      <c r="H42" s="27">
        <v>1</v>
      </c>
      <c r="I42" s="27" t="s">
        <v>686</v>
      </c>
      <c r="J42" s="27">
        <v>0</v>
      </c>
      <c r="K42" s="27" t="s">
        <v>686</v>
      </c>
      <c r="L42" s="27" t="s">
        <v>785</v>
      </c>
      <c r="M42" s="27" t="s">
        <v>773</v>
      </c>
      <c r="N42" s="27" t="s">
        <v>776</v>
      </c>
      <c r="O42" s="27" t="s">
        <v>686</v>
      </c>
      <c r="P42" s="27" t="s">
        <v>786</v>
      </c>
      <c r="Q42" s="27" t="s">
        <v>686</v>
      </c>
      <c r="R42" s="27">
        <v>1</v>
      </c>
      <c r="S42" s="27" t="s">
        <v>772</v>
      </c>
      <c r="T42" s="27" t="s">
        <v>777</v>
      </c>
      <c r="U42" s="27" t="s">
        <v>771</v>
      </c>
      <c r="V42" s="27" t="s">
        <v>685</v>
      </c>
      <c r="W42" s="27"/>
      <c r="X42" s="27" t="s">
        <v>761</v>
      </c>
    </row>
    <row r="43" spans="1:24" x14ac:dyDescent="0.25">
      <c r="A43" s="31" t="s">
        <v>688</v>
      </c>
      <c r="B43" s="31" t="s">
        <v>902</v>
      </c>
      <c r="C43" s="7" t="s">
        <v>771</v>
      </c>
      <c r="D43" s="7">
        <v>44000</v>
      </c>
      <c r="E43" s="7" t="s">
        <v>686</v>
      </c>
      <c r="F43" s="7">
        <v>4</v>
      </c>
      <c r="G43" s="7" t="s">
        <v>686</v>
      </c>
      <c r="H43" s="7">
        <v>1</v>
      </c>
      <c r="I43" s="7" t="s">
        <v>686</v>
      </c>
      <c r="J43" s="7">
        <v>0</v>
      </c>
      <c r="K43" s="7" t="s">
        <v>686</v>
      </c>
      <c r="L43" s="7" t="s">
        <v>785</v>
      </c>
      <c r="M43" s="7" t="s">
        <v>773</v>
      </c>
      <c r="N43" s="7" t="s">
        <v>776</v>
      </c>
      <c r="O43" s="7" t="s">
        <v>686</v>
      </c>
      <c r="P43" s="7" t="s">
        <v>786</v>
      </c>
      <c r="Q43" s="7" t="s">
        <v>686</v>
      </c>
      <c r="R43" s="7" t="s">
        <v>770</v>
      </c>
      <c r="S43" s="7" t="s">
        <v>772</v>
      </c>
      <c r="T43" s="7" t="s">
        <v>766</v>
      </c>
      <c r="U43" s="7" t="s">
        <v>771</v>
      </c>
      <c r="V43" s="7" t="s">
        <v>685</v>
      </c>
      <c r="W43" s="7"/>
      <c r="X43" s="7" t="s">
        <v>761</v>
      </c>
    </row>
    <row r="44" spans="1:24" x14ac:dyDescent="0.25">
      <c r="A44" s="31" t="s">
        <v>688</v>
      </c>
      <c r="B44" s="31" t="s">
        <v>903</v>
      </c>
      <c r="C44" s="7" t="s">
        <v>771</v>
      </c>
      <c r="D44" s="7">
        <v>44001</v>
      </c>
      <c r="E44" s="7" t="s">
        <v>686</v>
      </c>
      <c r="F44" s="7">
        <v>0</v>
      </c>
      <c r="G44" s="7" t="s">
        <v>686</v>
      </c>
      <c r="H44" s="7">
        <v>1</v>
      </c>
      <c r="I44" s="7" t="s">
        <v>686</v>
      </c>
      <c r="J44" s="7">
        <v>1</v>
      </c>
      <c r="K44" s="7" t="s">
        <v>686</v>
      </c>
      <c r="L44" s="7" t="s">
        <v>785</v>
      </c>
      <c r="M44" s="7" t="s">
        <v>773</v>
      </c>
      <c r="N44" s="7" t="s">
        <v>776</v>
      </c>
      <c r="O44" s="7" t="s">
        <v>686</v>
      </c>
      <c r="P44" s="7" t="s">
        <v>786</v>
      </c>
      <c r="Q44" s="7" t="s">
        <v>686</v>
      </c>
      <c r="R44" s="7" t="s">
        <v>770</v>
      </c>
      <c r="S44" s="7" t="s">
        <v>772</v>
      </c>
      <c r="T44" s="7" t="s">
        <v>766</v>
      </c>
      <c r="U44" s="7" t="s">
        <v>771</v>
      </c>
      <c r="V44" s="7" t="s">
        <v>685</v>
      </c>
      <c r="W44" s="7"/>
      <c r="X44" s="7" t="s">
        <v>761</v>
      </c>
    </row>
    <row r="45" spans="1:24" x14ac:dyDescent="0.25">
      <c r="A45" s="31" t="s">
        <v>688</v>
      </c>
      <c r="B45" s="31" t="s">
        <v>904</v>
      </c>
      <c r="C45" s="7" t="s">
        <v>771</v>
      </c>
      <c r="D45" s="7">
        <v>44002</v>
      </c>
      <c r="E45" s="7" t="s">
        <v>686</v>
      </c>
      <c r="F45" s="7">
        <v>0</v>
      </c>
      <c r="G45" s="7" t="s">
        <v>686</v>
      </c>
      <c r="H45" s="7">
        <v>1</v>
      </c>
      <c r="I45" s="7" t="s">
        <v>686</v>
      </c>
      <c r="J45" s="7">
        <v>2</v>
      </c>
      <c r="K45" s="7" t="s">
        <v>686</v>
      </c>
      <c r="L45" s="7" t="s">
        <v>785</v>
      </c>
      <c r="M45" s="7" t="s">
        <v>773</v>
      </c>
      <c r="N45" s="7" t="s">
        <v>776</v>
      </c>
      <c r="O45" s="7" t="s">
        <v>686</v>
      </c>
      <c r="P45" s="7" t="s">
        <v>786</v>
      </c>
      <c r="Q45" s="7" t="s">
        <v>686</v>
      </c>
      <c r="R45" s="7">
        <v>1</v>
      </c>
      <c r="S45" s="7" t="s">
        <v>772</v>
      </c>
      <c r="T45" s="7" t="s">
        <v>765</v>
      </c>
      <c r="U45" s="7" t="s">
        <v>771</v>
      </c>
      <c r="V45" s="7" t="s">
        <v>685</v>
      </c>
      <c r="W45" s="7"/>
      <c r="X45" s="7" t="s">
        <v>761</v>
      </c>
    </row>
    <row r="46" spans="1:24" x14ac:dyDescent="0.25">
      <c r="A46" s="31" t="s">
        <v>688</v>
      </c>
      <c r="B46" s="31" t="s">
        <v>905</v>
      </c>
      <c r="C46" s="7" t="s">
        <v>771</v>
      </c>
      <c r="D46" s="7">
        <v>44003</v>
      </c>
      <c r="E46" s="7" t="s">
        <v>686</v>
      </c>
      <c r="F46" s="7">
        <v>0</v>
      </c>
      <c r="G46" s="7" t="s">
        <v>686</v>
      </c>
      <c r="H46" s="7">
        <v>1</v>
      </c>
      <c r="I46" s="7" t="s">
        <v>686</v>
      </c>
      <c r="J46" s="7">
        <v>3</v>
      </c>
      <c r="K46" s="7" t="s">
        <v>686</v>
      </c>
      <c r="L46" s="7" t="s">
        <v>785</v>
      </c>
      <c r="M46" s="7" t="s">
        <v>773</v>
      </c>
      <c r="N46" s="7" t="s">
        <v>776</v>
      </c>
      <c r="O46" s="7" t="s">
        <v>686</v>
      </c>
      <c r="P46" s="7" t="s">
        <v>786</v>
      </c>
      <c r="Q46" s="7" t="s">
        <v>686</v>
      </c>
      <c r="R46" s="7">
        <v>1</v>
      </c>
      <c r="S46" s="7" t="s">
        <v>772</v>
      </c>
      <c r="T46" s="7" t="s">
        <v>765</v>
      </c>
      <c r="U46" s="7" t="s">
        <v>771</v>
      </c>
      <c r="V46" s="7" t="s">
        <v>685</v>
      </c>
      <c r="W46" s="7"/>
      <c r="X46" s="7" t="s">
        <v>760</v>
      </c>
    </row>
    <row r="47" spans="1:24" x14ac:dyDescent="0.25">
      <c r="C47" s="1"/>
    </row>
    <row r="48" spans="1:24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7A21-B3FC-492C-B00A-E718319F52A6}">
  <sheetPr codeName="Sheet4"/>
  <dimension ref="A1:Q18"/>
  <sheetViews>
    <sheetView workbookViewId="0">
      <selection activeCell="B18" sqref="B18"/>
    </sheetView>
  </sheetViews>
  <sheetFormatPr defaultRowHeight="15" x14ac:dyDescent="0.25"/>
  <cols>
    <col min="2" max="2" width="31.85546875" bestFit="1" customWidth="1"/>
    <col min="4" max="11" width="9.140625" style="1"/>
    <col min="12" max="12" width="12.42578125" style="1" customWidth="1"/>
    <col min="13" max="13" width="9.140625" style="1"/>
    <col min="14" max="17" width="10.5703125" style="1" customWidth="1"/>
  </cols>
  <sheetData>
    <row r="1" spans="1:17" x14ac:dyDescent="0.25">
      <c r="A1" s="32" t="s">
        <v>688</v>
      </c>
      <c r="B1" s="32" t="s">
        <v>209</v>
      </c>
      <c r="C1" s="27" t="s">
        <v>771</v>
      </c>
      <c r="D1" s="27">
        <v>41000</v>
      </c>
      <c r="E1" s="27" t="s">
        <v>780</v>
      </c>
      <c r="F1" s="27" t="s">
        <v>785</v>
      </c>
      <c r="G1" s="27">
        <v>2</v>
      </c>
      <c r="H1" s="27" t="s">
        <v>686</v>
      </c>
      <c r="I1" s="27" t="s">
        <v>773</v>
      </c>
      <c r="J1" s="27" t="s">
        <v>776</v>
      </c>
      <c r="K1" s="27" t="s">
        <v>686</v>
      </c>
      <c r="L1" s="27" t="s">
        <v>786</v>
      </c>
      <c r="M1" s="27" t="s">
        <v>686</v>
      </c>
      <c r="N1" s="27">
        <v>1</v>
      </c>
      <c r="O1" s="27" t="s">
        <v>772</v>
      </c>
      <c r="P1" s="27" t="s">
        <v>777</v>
      </c>
      <c r="Q1" s="27" t="s">
        <v>761</v>
      </c>
    </row>
    <row r="2" spans="1:17" x14ac:dyDescent="0.25">
      <c r="A2" s="31" t="s">
        <v>688</v>
      </c>
      <c r="B2" s="31" t="s">
        <v>783</v>
      </c>
      <c r="C2" s="7" t="s">
        <v>771</v>
      </c>
      <c r="D2" s="7">
        <v>41100</v>
      </c>
      <c r="E2" s="7" t="s">
        <v>780</v>
      </c>
      <c r="F2" s="7" t="s">
        <v>785</v>
      </c>
      <c r="G2" s="7">
        <v>2</v>
      </c>
      <c r="H2" s="7" t="s">
        <v>686</v>
      </c>
      <c r="I2" s="7" t="s">
        <v>773</v>
      </c>
      <c r="J2" s="7" t="s">
        <v>776</v>
      </c>
      <c r="K2" s="7" t="s">
        <v>686</v>
      </c>
      <c r="L2" s="7" t="s">
        <v>786</v>
      </c>
      <c r="M2" s="7" t="s">
        <v>686</v>
      </c>
      <c r="N2" s="7">
        <v>1</v>
      </c>
      <c r="O2" s="7" t="s">
        <v>772</v>
      </c>
      <c r="P2" s="7" t="s">
        <v>777</v>
      </c>
      <c r="Q2" s="7" t="s">
        <v>761</v>
      </c>
    </row>
    <row r="3" spans="1:17" x14ac:dyDescent="0.25">
      <c r="A3" s="32" t="s">
        <v>688</v>
      </c>
      <c r="B3" s="32" t="s">
        <v>210</v>
      </c>
      <c r="C3" s="27" t="s">
        <v>771</v>
      </c>
      <c r="D3" s="27">
        <v>41200</v>
      </c>
      <c r="E3" s="27" t="s">
        <v>780</v>
      </c>
      <c r="F3" s="27" t="s">
        <v>785</v>
      </c>
      <c r="G3" s="27">
        <v>2</v>
      </c>
      <c r="H3" s="27" t="s">
        <v>686</v>
      </c>
      <c r="I3" s="27" t="s">
        <v>773</v>
      </c>
      <c r="J3" s="27" t="s">
        <v>776</v>
      </c>
      <c r="K3" s="27" t="s">
        <v>686</v>
      </c>
      <c r="L3" s="27" t="s">
        <v>786</v>
      </c>
      <c r="M3" s="27" t="s">
        <v>686</v>
      </c>
      <c r="N3" s="27">
        <v>1</v>
      </c>
      <c r="O3" s="27" t="s">
        <v>772</v>
      </c>
      <c r="P3" s="27" t="s">
        <v>777</v>
      </c>
      <c r="Q3" s="27" t="s">
        <v>761</v>
      </c>
    </row>
    <row r="4" spans="1:17" x14ac:dyDescent="0.25">
      <c r="A4" s="31" t="s">
        <v>688</v>
      </c>
      <c r="B4" s="31" t="s">
        <v>198</v>
      </c>
      <c r="C4" s="7" t="s">
        <v>771</v>
      </c>
      <c r="D4" s="7">
        <v>42000</v>
      </c>
      <c r="E4" s="7" t="s">
        <v>780</v>
      </c>
      <c r="F4" s="7" t="s">
        <v>785</v>
      </c>
      <c r="G4" s="7">
        <v>2</v>
      </c>
      <c r="H4" s="7" t="s">
        <v>686</v>
      </c>
      <c r="I4" s="7" t="s">
        <v>773</v>
      </c>
      <c r="J4" s="7" t="s">
        <v>776</v>
      </c>
      <c r="K4" s="7" t="s">
        <v>686</v>
      </c>
      <c r="L4" s="7" t="s">
        <v>786</v>
      </c>
      <c r="M4" s="7" t="s">
        <v>686</v>
      </c>
      <c r="N4" s="7">
        <v>1</v>
      </c>
      <c r="O4" s="7" t="s">
        <v>772</v>
      </c>
      <c r="P4" s="7" t="s">
        <v>777</v>
      </c>
      <c r="Q4" s="7" t="s">
        <v>761</v>
      </c>
    </row>
    <row r="5" spans="1:17" x14ac:dyDescent="0.25">
      <c r="A5" s="32" t="s">
        <v>688</v>
      </c>
      <c r="B5" s="32" t="s">
        <v>199</v>
      </c>
      <c r="C5" s="27" t="s">
        <v>771</v>
      </c>
      <c r="D5" s="27">
        <v>42010</v>
      </c>
      <c r="E5" s="27" t="s">
        <v>780</v>
      </c>
      <c r="F5" s="27" t="s">
        <v>785</v>
      </c>
      <c r="G5" s="27">
        <v>2</v>
      </c>
      <c r="H5" s="27" t="s">
        <v>686</v>
      </c>
      <c r="I5" s="27" t="s">
        <v>773</v>
      </c>
      <c r="J5" s="27" t="s">
        <v>776</v>
      </c>
      <c r="K5" s="27" t="s">
        <v>686</v>
      </c>
      <c r="L5" s="27" t="s">
        <v>786</v>
      </c>
      <c r="M5" s="27" t="s">
        <v>686</v>
      </c>
      <c r="N5" s="27">
        <v>1</v>
      </c>
      <c r="O5" s="27" t="s">
        <v>772</v>
      </c>
      <c r="P5" s="27" t="s">
        <v>777</v>
      </c>
      <c r="Q5" s="27" t="s">
        <v>761</v>
      </c>
    </row>
    <row r="6" spans="1:17" x14ac:dyDescent="0.25">
      <c r="A6" s="32" t="s">
        <v>688</v>
      </c>
      <c r="B6" s="32" t="s">
        <v>197</v>
      </c>
      <c r="C6" s="27" t="s">
        <v>771</v>
      </c>
      <c r="D6" s="27">
        <v>42011</v>
      </c>
      <c r="E6" s="27" t="s">
        <v>779</v>
      </c>
      <c r="F6" s="27" t="s">
        <v>785</v>
      </c>
      <c r="G6" s="27">
        <v>2</v>
      </c>
      <c r="H6" s="27" t="s">
        <v>686</v>
      </c>
      <c r="I6" s="27" t="s">
        <v>773</v>
      </c>
      <c r="J6" s="27" t="s">
        <v>776</v>
      </c>
      <c r="K6" s="27" t="s">
        <v>686</v>
      </c>
      <c r="L6" s="27" t="s">
        <v>786</v>
      </c>
      <c r="M6" s="27" t="s">
        <v>686</v>
      </c>
      <c r="N6" s="27" t="s">
        <v>246</v>
      </c>
      <c r="O6" s="27" t="s">
        <v>772</v>
      </c>
      <c r="P6" s="27" t="s">
        <v>777</v>
      </c>
      <c r="Q6" s="27" t="s">
        <v>761</v>
      </c>
    </row>
    <row r="7" spans="1:17" x14ac:dyDescent="0.25">
      <c r="A7" s="31" t="s">
        <v>688</v>
      </c>
      <c r="B7" s="31" t="s">
        <v>195</v>
      </c>
      <c r="C7" s="7" t="s">
        <v>771</v>
      </c>
      <c r="D7" s="7">
        <v>42020</v>
      </c>
      <c r="E7" s="7" t="s">
        <v>780</v>
      </c>
      <c r="F7" s="7" t="s">
        <v>785</v>
      </c>
      <c r="G7" s="7">
        <v>2</v>
      </c>
      <c r="H7" s="7" t="s">
        <v>686</v>
      </c>
      <c r="I7" s="7" t="s">
        <v>773</v>
      </c>
      <c r="J7" s="7" t="s">
        <v>776</v>
      </c>
      <c r="K7" s="7" t="s">
        <v>686</v>
      </c>
      <c r="L7" s="7" t="s">
        <v>786</v>
      </c>
      <c r="M7" s="7" t="s">
        <v>686</v>
      </c>
      <c r="N7" s="7">
        <v>1</v>
      </c>
      <c r="O7" s="7" t="s">
        <v>772</v>
      </c>
      <c r="P7" s="7" t="s">
        <v>765</v>
      </c>
      <c r="Q7" s="7" t="s">
        <v>761</v>
      </c>
    </row>
    <row r="8" spans="1:17" x14ac:dyDescent="0.25">
      <c r="A8" s="31" t="s">
        <v>688</v>
      </c>
      <c r="B8" s="31" t="s">
        <v>196</v>
      </c>
      <c r="C8" s="7" t="s">
        <v>771</v>
      </c>
      <c r="D8" s="7">
        <v>42021</v>
      </c>
      <c r="E8" s="7" t="s">
        <v>779</v>
      </c>
      <c r="F8" s="7" t="s">
        <v>785</v>
      </c>
      <c r="G8" s="7">
        <v>2</v>
      </c>
      <c r="H8" s="7" t="s">
        <v>686</v>
      </c>
      <c r="I8" s="7" t="s">
        <v>773</v>
      </c>
      <c r="J8" s="7" t="s">
        <v>776</v>
      </c>
      <c r="K8" s="7" t="s">
        <v>686</v>
      </c>
      <c r="L8" s="7" t="s">
        <v>786</v>
      </c>
      <c r="M8" s="7" t="s">
        <v>686</v>
      </c>
      <c r="N8" s="7">
        <v>1</v>
      </c>
      <c r="O8" s="7" t="s">
        <v>772</v>
      </c>
      <c r="P8" s="7" t="s">
        <v>765</v>
      </c>
      <c r="Q8" s="7" t="s">
        <v>761</v>
      </c>
    </row>
    <row r="9" spans="1:17" x14ac:dyDescent="0.25">
      <c r="A9" s="32" t="s">
        <v>688</v>
      </c>
      <c r="B9" s="32" t="s">
        <v>201</v>
      </c>
      <c r="C9" s="27" t="s">
        <v>771</v>
      </c>
      <c r="D9" s="27">
        <v>43000</v>
      </c>
      <c r="E9" s="27" t="s">
        <v>780</v>
      </c>
      <c r="F9" s="27" t="s">
        <v>785</v>
      </c>
      <c r="G9" s="27">
        <v>2</v>
      </c>
      <c r="H9" s="27" t="s">
        <v>686</v>
      </c>
      <c r="I9" s="27" t="s">
        <v>773</v>
      </c>
      <c r="J9" s="27" t="s">
        <v>776</v>
      </c>
      <c r="K9" s="27" t="s">
        <v>686</v>
      </c>
      <c r="L9" s="27" t="s">
        <v>786</v>
      </c>
      <c r="M9" s="27" t="s">
        <v>686</v>
      </c>
      <c r="N9" s="27">
        <v>1</v>
      </c>
      <c r="O9" s="27" t="s">
        <v>772</v>
      </c>
      <c r="P9" s="27" t="s">
        <v>777</v>
      </c>
      <c r="Q9" s="27" t="s">
        <v>761</v>
      </c>
    </row>
    <row r="10" spans="1:17" x14ac:dyDescent="0.25">
      <c r="A10" s="31" t="s">
        <v>688</v>
      </c>
      <c r="B10" s="31" t="s">
        <v>206</v>
      </c>
      <c r="C10" s="7" t="s">
        <v>771</v>
      </c>
      <c r="D10" s="7">
        <v>44000</v>
      </c>
      <c r="E10" s="7" t="s">
        <v>780</v>
      </c>
      <c r="F10" s="7" t="s">
        <v>785</v>
      </c>
      <c r="G10" s="7">
        <v>2</v>
      </c>
      <c r="H10" s="7" t="s">
        <v>686</v>
      </c>
      <c r="I10" s="7" t="s">
        <v>773</v>
      </c>
      <c r="J10" s="7" t="s">
        <v>776</v>
      </c>
      <c r="K10" s="7" t="s">
        <v>686</v>
      </c>
      <c r="L10" s="7" t="s">
        <v>786</v>
      </c>
      <c r="M10" s="7" t="s">
        <v>686</v>
      </c>
      <c r="N10" s="7" t="s">
        <v>770</v>
      </c>
      <c r="O10" s="7" t="s">
        <v>772</v>
      </c>
      <c r="P10" s="7" t="s">
        <v>766</v>
      </c>
      <c r="Q10" s="7" t="s">
        <v>761</v>
      </c>
    </row>
    <row r="11" spans="1:17" x14ac:dyDescent="0.25">
      <c r="A11" s="31" t="s">
        <v>688</v>
      </c>
      <c r="B11" s="31" t="s">
        <v>207</v>
      </c>
      <c r="C11" s="7" t="s">
        <v>771</v>
      </c>
      <c r="D11" s="7">
        <v>44001</v>
      </c>
      <c r="E11" s="7" t="s">
        <v>779</v>
      </c>
      <c r="F11" s="7" t="s">
        <v>785</v>
      </c>
      <c r="G11" s="7">
        <v>2</v>
      </c>
      <c r="H11" s="7" t="s">
        <v>686</v>
      </c>
      <c r="I11" s="7" t="s">
        <v>773</v>
      </c>
      <c r="J11" s="7" t="s">
        <v>776</v>
      </c>
      <c r="K11" s="7" t="s">
        <v>686</v>
      </c>
      <c r="L11" s="7" t="s">
        <v>786</v>
      </c>
      <c r="M11" s="7" t="s">
        <v>686</v>
      </c>
      <c r="N11" s="7" t="s">
        <v>770</v>
      </c>
      <c r="O11" s="7" t="s">
        <v>772</v>
      </c>
      <c r="P11" s="7" t="s">
        <v>766</v>
      </c>
      <c r="Q11" s="7" t="s">
        <v>761</v>
      </c>
    </row>
    <row r="12" spans="1:17" x14ac:dyDescent="0.25">
      <c r="A12" s="31" t="s">
        <v>688</v>
      </c>
      <c r="B12" s="31" t="s">
        <v>208</v>
      </c>
      <c r="C12" s="7" t="s">
        <v>771</v>
      </c>
      <c r="D12" s="7">
        <v>44002</v>
      </c>
      <c r="E12" s="7" t="s">
        <v>782</v>
      </c>
      <c r="F12" s="7" t="s">
        <v>785</v>
      </c>
      <c r="G12" s="7">
        <v>2</v>
      </c>
      <c r="H12" s="7" t="s">
        <v>686</v>
      </c>
      <c r="I12" s="7" t="s">
        <v>773</v>
      </c>
      <c r="J12" s="7" t="s">
        <v>776</v>
      </c>
      <c r="K12" s="7" t="s">
        <v>686</v>
      </c>
      <c r="L12" s="7" t="s">
        <v>786</v>
      </c>
      <c r="M12" s="7" t="s">
        <v>686</v>
      </c>
      <c r="N12" s="7">
        <v>1</v>
      </c>
      <c r="O12" s="7" t="s">
        <v>772</v>
      </c>
      <c r="P12" s="7" t="s">
        <v>765</v>
      </c>
      <c r="Q12" s="7" t="s">
        <v>761</v>
      </c>
    </row>
    <row r="13" spans="1:17" x14ac:dyDescent="0.25">
      <c r="A13" s="31" t="s">
        <v>688</v>
      </c>
      <c r="B13" s="31" t="s">
        <v>265</v>
      </c>
      <c r="C13" s="7" t="s">
        <v>771</v>
      </c>
      <c r="D13" s="7">
        <v>44003</v>
      </c>
      <c r="E13" s="7" t="s">
        <v>781</v>
      </c>
      <c r="F13" s="7" t="s">
        <v>785</v>
      </c>
      <c r="G13" s="7">
        <v>2</v>
      </c>
      <c r="H13" s="7" t="s">
        <v>686</v>
      </c>
      <c r="I13" s="7" t="s">
        <v>773</v>
      </c>
      <c r="J13" s="7" t="s">
        <v>776</v>
      </c>
      <c r="K13" s="7" t="s">
        <v>686</v>
      </c>
      <c r="L13" s="7" t="s">
        <v>786</v>
      </c>
      <c r="M13" s="7" t="s">
        <v>686</v>
      </c>
      <c r="N13" s="7">
        <v>1</v>
      </c>
      <c r="O13" s="7" t="s">
        <v>772</v>
      </c>
      <c r="P13" s="7" t="s">
        <v>765</v>
      </c>
      <c r="Q13" s="7" t="s">
        <v>760</v>
      </c>
    </row>
    <row r="14" spans="1:17" x14ac:dyDescent="0.25">
      <c r="C14" s="1"/>
    </row>
    <row r="15" spans="1:17" x14ac:dyDescent="0.25">
      <c r="C15" s="1"/>
    </row>
    <row r="16" spans="1:17" x14ac:dyDescent="0.25">
      <c r="C16" s="1"/>
    </row>
    <row r="17" spans="1:2" s="1" customFormat="1" x14ac:dyDescent="0.25">
      <c r="A17"/>
      <c r="B17"/>
    </row>
    <row r="18" spans="1:2" s="1" customFormat="1" x14ac:dyDescent="0.25">
      <c r="A18"/>
      <c r="B1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B428-73A0-454D-A481-34E62C5D0098}">
  <sheetPr codeName="Sheet5"/>
  <dimension ref="A1:F25"/>
  <sheetViews>
    <sheetView workbookViewId="0">
      <selection activeCell="N15" sqref="N15"/>
    </sheetView>
  </sheetViews>
  <sheetFormatPr defaultRowHeight="15" x14ac:dyDescent="0.25"/>
  <cols>
    <col min="1" max="1" width="6.28515625" customWidth="1"/>
    <col min="2" max="2" width="28.5703125" bestFit="1" customWidth="1"/>
    <col min="3" max="3" width="6" customWidth="1"/>
    <col min="4" max="4" width="7.140625" bestFit="1" customWidth="1"/>
    <col min="5" max="5" width="3.42578125" customWidth="1"/>
    <col min="6" max="6" width="44" bestFit="1" customWidth="1"/>
  </cols>
  <sheetData>
    <row r="1" spans="1:6" x14ac:dyDescent="0.25">
      <c r="A1" s="16" t="s">
        <v>688</v>
      </c>
      <c r="B1" s="16" t="s">
        <v>271</v>
      </c>
      <c r="C1" s="16" t="s">
        <v>687</v>
      </c>
      <c r="D1" s="29" t="s">
        <v>273</v>
      </c>
      <c r="E1" s="16" t="s">
        <v>689</v>
      </c>
      <c r="F1" s="16" t="s">
        <v>742</v>
      </c>
    </row>
    <row r="2" spans="1:6" x14ac:dyDescent="0.25">
      <c r="A2" s="16" t="s">
        <v>688</v>
      </c>
      <c r="B2" s="16" t="s">
        <v>3</v>
      </c>
      <c r="C2" s="16" t="s">
        <v>687</v>
      </c>
      <c r="D2" s="29" t="s">
        <v>73</v>
      </c>
      <c r="E2" s="16" t="s">
        <v>689</v>
      </c>
      <c r="F2" s="16" t="s">
        <v>759</v>
      </c>
    </row>
    <row r="3" spans="1:6" x14ac:dyDescent="0.25">
      <c r="A3" s="16" t="s">
        <v>688</v>
      </c>
      <c r="B3" s="16" t="s">
        <v>674</v>
      </c>
      <c r="C3" s="16" t="s">
        <v>687</v>
      </c>
      <c r="D3" s="29" t="s">
        <v>275</v>
      </c>
      <c r="E3" s="16" t="s">
        <v>689</v>
      </c>
      <c r="F3" s="16" t="s">
        <v>743</v>
      </c>
    </row>
    <row r="4" spans="1:6" x14ac:dyDescent="0.25">
      <c r="A4" s="16" t="s">
        <v>688</v>
      </c>
      <c r="B4" s="16" t="s">
        <v>186</v>
      </c>
      <c r="C4" s="16" t="s">
        <v>687</v>
      </c>
      <c r="D4" s="29" t="s">
        <v>68</v>
      </c>
      <c r="E4" s="16" t="s">
        <v>689</v>
      </c>
      <c r="F4" s="16" t="s">
        <v>744</v>
      </c>
    </row>
    <row r="5" spans="1:6" x14ac:dyDescent="0.25">
      <c r="A5" s="16" t="s">
        <v>688</v>
      </c>
      <c r="B5" s="16" t="s">
        <v>187</v>
      </c>
      <c r="C5" s="16" t="s">
        <v>687</v>
      </c>
      <c r="D5" s="29" t="s">
        <v>69</v>
      </c>
      <c r="E5" s="16" t="s">
        <v>689</v>
      </c>
      <c r="F5" s="16" t="s">
        <v>744</v>
      </c>
    </row>
    <row r="6" spans="1:6" x14ac:dyDescent="0.25">
      <c r="A6" s="16" t="s">
        <v>688</v>
      </c>
      <c r="B6" s="16" t="s">
        <v>188</v>
      </c>
      <c r="C6" s="16" t="s">
        <v>687</v>
      </c>
      <c r="D6" s="30" t="s">
        <v>70</v>
      </c>
      <c r="E6" s="16" t="s">
        <v>689</v>
      </c>
      <c r="F6" s="16" t="s">
        <v>744</v>
      </c>
    </row>
    <row r="7" spans="1:6" x14ac:dyDescent="0.25">
      <c r="A7" s="16" t="s">
        <v>688</v>
      </c>
      <c r="B7" s="16" t="s">
        <v>189</v>
      </c>
      <c r="C7" s="16" t="s">
        <v>687</v>
      </c>
      <c r="D7" s="30" t="s">
        <v>291</v>
      </c>
      <c r="E7" s="16" t="s">
        <v>689</v>
      </c>
      <c r="F7" s="16" t="s">
        <v>744</v>
      </c>
    </row>
    <row r="8" spans="1:6" x14ac:dyDescent="0.25">
      <c r="A8" s="16" t="s">
        <v>688</v>
      </c>
      <c r="B8" s="16" t="s">
        <v>272</v>
      </c>
      <c r="C8" s="16" t="s">
        <v>687</v>
      </c>
      <c r="D8" s="30" t="s">
        <v>283</v>
      </c>
      <c r="E8" s="16" t="s">
        <v>689</v>
      </c>
      <c r="F8" s="16" t="s">
        <v>742</v>
      </c>
    </row>
    <row r="9" spans="1:6" x14ac:dyDescent="0.25">
      <c r="A9" s="16" t="s">
        <v>688</v>
      </c>
      <c r="B9" s="16" t="s">
        <v>23</v>
      </c>
      <c r="C9" s="16" t="s">
        <v>687</v>
      </c>
      <c r="D9" s="30" t="s">
        <v>72</v>
      </c>
      <c r="E9" s="16" t="s">
        <v>689</v>
      </c>
      <c r="F9" s="16" t="s">
        <v>751</v>
      </c>
    </row>
    <row r="10" spans="1:6" x14ac:dyDescent="0.25">
      <c r="A10" s="16" t="s">
        <v>688</v>
      </c>
      <c r="B10" s="16" t="s">
        <v>4</v>
      </c>
      <c r="C10" s="16" t="s">
        <v>687</v>
      </c>
      <c r="D10" s="30" t="s">
        <v>71</v>
      </c>
      <c r="E10" s="16" t="s">
        <v>689</v>
      </c>
      <c r="F10" s="16" t="s">
        <v>752</v>
      </c>
    </row>
    <row r="11" spans="1:6" x14ac:dyDescent="0.25">
      <c r="A11" s="16" t="s">
        <v>688</v>
      </c>
      <c r="B11" s="16" t="s">
        <v>183</v>
      </c>
      <c r="C11" s="16" t="s">
        <v>687</v>
      </c>
      <c r="D11" s="30" t="s">
        <v>80</v>
      </c>
      <c r="E11" s="16" t="s">
        <v>689</v>
      </c>
      <c r="F11" s="16" t="s">
        <v>750</v>
      </c>
    </row>
    <row r="12" spans="1:6" x14ac:dyDescent="0.25">
      <c r="A12" s="16" t="s">
        <v>688</v>
      </c>
      <c r="B12" s="16" t="s">
        <v>184</v>
      </c>
      <c r="C12" s="16" t="s">
        <v>687</v>
      </c>
      <c r="D12" s="30" t="s">
        <v>81</v>
      </c>
      <c r="E12" s="16" t="s">
        <v>689</v>
      </c>
      <c r="F12" s="16" t="s">
        <v>749</v>
      </c>
    </row>
    <row r="13" spans="1:6" x14ac:dyDescent="0.25">
      <c r="A13" s="16" t="s">
        <v>688</v>
      </c>
      <c r="B13" s="16" t="s">
        <v>185</v>
      </c>
      <c r="C13" s="16" t="s">
        <v>687</v>
      </c>
      <c r="D13" s="30" t="s">
        <v>82</v>
      </c>
      <c r="E13" s="16" t="s">
        <v>689</v>
      </c>
      <c r="F13" s="16" t="s">
        <v>748</v>
      </c>
    </row>
    <row r="14" spans="1:6" x14ac:dyDescent="0.25">
      <c r="A14" s="16" t="s">
        <v>688</v>
      </c>
      <c r="B14" s="16" t="s">
        <v>190</v>
      </c>
      <c r="C14" s="16" t="s">
        <v>687</v>
      </c>
      <c r="D14" s="30" t="s">
        <v>284</v>
      </c>
      <c r="E14" s="16" t="s">
        <v>689</v>
      </c>
      <c r="F14" s="16" t="s">
        <v>746</v>
      </c>
    </row>
    <row r="15" spans="1:6" x14ac:dyDescent="0.25">
      <c r="A15" s="16" t="s">
        <v>688</v>
      </c>
      <c r="B15" s="16" t="s">
        <v>191</v>
      </c>
      <c r="C15" s="16" t="s">
        <v>687</v>
      </c>
      <c r="D15" s="30" t="s">
        <v>285</v>
      </c>
      <c r="E15" s="16" t="s">
        <v>689</v>
      </c>
      <c r="F15" s="16" t="s">
        <v>745</v>
      </c>
    </row>
    <row r="16" spans="1:6" x14ac:dyDescent="0.25">
      <c r="A16" s="16" t="s">
        <v>688</v>
      </c>
      <c r="B16" s="16" t="s">
        <v>192</v>
      </c>
      <c r="C16" s="16" t="s">
        <v>687</v>
      </c>
      <c r="D16" s="30" t="s">
        <v>286</v>
      </c>
      <c r="E16" s="16" t="s">
        <v>689</v>
      </c>
      <c r="F16" s="16" t="s">
        <v>747</v>
      </c>
    </row>
    <row r="17" spans="1:6" x14ac:dyDescent="0.25">
      <c r="A17" s="16" t="s">
        <v>688</v>
      </c>
      <c r="B17" s="16" t="s">
        <v>28</v>
      </c>
      <c r="C17" s="16" t="s">
        <v>687</v>
      </c>
      <c r="D17" s="30" t="s">
        <v>74</v>
      </c>
      <c r="E17" s="16" t="s">
        <v>689</v>
      </c>
      <c r="F17" s="16" t="s">
        <v>753</v>
      </c>
    </row>
    <row r="18" spans="1:6" x14ac:dyDescent="0.25">
      <c r="A18" s="16" t="s">
        <v>688</v>
      </c>
      <c r="B18" s="16" t="s">
        <v>29</v>
      </c>
      <c r="C18" s="16" t="s">
        <v>687</v>
      </c>
      <c r="D18" s="30" t="s">
        <v>75</v>
      </c>
      <c r="E18" s="16" t="s">
        <v>689</v>
      </c>
      <c r="F18" s="16" t="s">
        <v>754</v>
      </c>
    </row>
    <row r="19" spans="1:6" x14ac:dyDescent="0.25">
      <c r="A19" s="16" t="s">
        <v>688</v>
      </c>
      <c r="B19" s="16" t="s">
        <v>30</v>
      </c>
      <c r="C19" s="16" t="s">
        <v>687</v>
      </c>
      <c r="D19" s="30" t="s">
        <v>76</v>
      </c>
      <c r="E19" s="16" t="s">
        <v>689</v>
      </c>
      <c r="F19" s="16" t="s">
        <v>755</v>
      </c>
    </row>
    <row r="20" spans="1:6" x14ac:dyDescent="0.25">
      <c r="A20" s="16" t="s">
        <v>688</v>
      </c>
      <c r="B20" s="16" t="s">
        <v>31</v>
      </c>
      <c r="C20" s="16" t="s">
        <v>687</v>
      </c>
      <c r="D20" s="30" t="s">
        <v>77</v>
      </c>
      <c r="E20" s="16" t="s">
        <v>689</v>
      </c>
      <c r="F20" s="16" t="s">
        <v>756</v>
      </c>
    </row>
    <row r="21" spans="1:6" x14ac:dyDescent="0.25">
      <c r="A21" s="16" t="s">
        <v>688</v>
      </c>
      <c r="B21" s="16" t="s">
        <v>32</v>
      </c>
      <c r="C21" s="16" t="s">
        <v>687</v>
      </c>
      <c r="D21" s="30" t="s">
        <v>78</v>
      </c>
      <c r="E21" s="16" t="s">
        <v>689</v>
      </c>
      <c r="F21" s="16" t="s">
        <v>757</v>
      </c>
    </row>
    <row r="22" spans="1:6" x14ac:dyDescent="0.25">
      <c r="A22" s="16" t="s">
        <v>688</v>
      </c>
      <c r="B22" s="16" t="s">
        <v>33</v>
      </c>
      <c r="C22" s="16" t="s">
        <v>687</v>
      </c>
      <c r="D22" s="30" t="s">
        <v>79</v>
      </c>
      <c r="E22" s="16" t="s">
        <v>689</v>
      </c>
      <c r="F22" s="16" t="s">
        <v>758</v>
      </c>
    </row>
    <row r="23" spans="1:6" x14ac:dyDescent="0.25">
      <c r="A23" s="16" t="s">
        <v>688</v>
      </c>
      <c r="B23" s="16" t="s">
        <v>675</v>
      </c>
      <c r="C23" s="16" t="s">
        <v>687</v>
      </c>
      <c r="D23" s="30" t="s">
        <v>287</v>
      </c>
      <c r="E23" s="16" t="s">
        <v>689</v>
      </c>
      <c r="F23" s="16" t="s">
        <v>743</v>
      </c>
    </row>
    <row r="24" spans="1:6" x14ac:dyDescent="0.25">
      <c r="A24" s="16" t="s">
        <v>688</v>
      </c>
      <c r="B24" s="16" t="s">
        <v>129</v>
      </c>
      <c r="C24" s="16" t="s">
        <v>687</v>
      </c>
      <c r="D24" s="30" t="s">
        <v>128</v>
      </c>
      <c r="E24" s="16" t="s">
        <v>689</v>
      </c>
      <c r="F24" s="16" t="s">
        <v>759</v>
      </c>
    </row>
    <row r="25" spans="1:6" x14ac:dyDescent="0.25">
      <c r="A25" s="16" t="s">
        <v>688</v>
      </c>
      <c r="B25" s="16" t="s">
        <v>132</v>
      </c>
      <c r="C25" s="16" t="s">
        <v>687</v>
      </c>
      <c r="D25" s="30" t="s">
        <v>128</v>
      </c>
      <c r="E25" s="16" t="s">
        <v>689</v>
      </c>
      <c r="F25" s="16" t="s">
        <v>742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EB17-C9DB-440A-A799-726E0103B9AD}">
  <sheetPr codeName="Sheet6"/>
  <dimension ref="B1:K26"/>
  <sheetViews>
    <sheetView workbookViewId="0">
      <selection activeCell="E7" sqref="E7"/>
    </sheetView>
  </sheetViews>
  <sheetFormatPr defaultRowHeight="15" x14ac:dyDescent="0.25"/>
  <cols>
    <col min="1" max="1" width="31.85546875" bestFit="1" customWidth="1"/>
    <col min="2" max="3" width="8.28515625" customWidth="1"/>
    <col min="4" max="4" width="24.85546875" bestFit="1" customWidth="1"/>
    <col min="7" max="8" width="9.140625" style="1"/>
    <col min="9" max="9" width="10.5703125" style="1" customWidth="1"/>
    <col min="10" max="10" width="10.42578125" customWidth="1"/>
  </cols>
  <sheetData>
    <row r="1" spans="2:11" x14ac:dyDescent="0.25">
      <c r="D1" s="1"/>
      <c r="J1" t="s">
        <v>684</v>
      </c>
    </row>
    <row r="2" spans="2:11" x14ac:dyDescent="0.25">
      <c r="B2" t="s">
        <v>740</v>
      </c>
      <c r="C2" t="s">
        <v>685</v>
      </c>
      <c r="D2" t="s">
        <v>692</v>
      </c>
      <c r="E2" t="s">
        <v>685</v>
      </c>
      <c r="F2" s="1" t="s">
        <v>732</v>
      </c>
      <c r="G2" t="s">
        <v>73</v>
      </c>
      <c r="H2" s="1" t="s">
        <v>739</v>
      </c>
      <c r="J2" t="s">
        <v>73</v>
      </c>
      <c r="K2" s="1" t="s">
        <v>686</v>
      </c>
    </row>
    <row r="3" spans="2:11" x14ac:dyDescent="0.25">
      <c r="B3" t="s">
        <v>740</v>
      </c>
      <c r="C3" t="s">
        <v>685</v>
      </c>
      <c r="D3" t="s">
        <v>693</v>
      </c>
      <c r="E3" t="s">
        <v>685</v>
      </c>
      <c r="F3" s="1" t="s">
        <v>732</v>
      </c>
      <c r="G3" t="s">
        <v>273</v>
      </c>
      <c r="H3" s="1" t="s">
        <v>739</v>
      </c>
      <c r="J3" t="s">
        <v>273</v>
      </c>
      <c r="K3" s="1" t="s">
        <v>686</v>
      </c>
    </row>
    <row r="4" spans="2:11" x14ac:dyDescent="0.25">
      <c r="B4" t="s">
        <v>740</v>
      </c>
      <c r="C4" t="s">
        <v>685</v>
      </c>
      <c r="D4" t="s">
        <v>694</v>
      </c>
      <c r="E4" t="s">
        <v>685</v>
      </c>
      <c r="F4" s="1" t="s">
        <v>732</v>
      </c>
      <c r="G4" t="s">
        <v>275</v>
      </c>
      <c r="H4" s="1" t="s">
        <v>739</v>
      </c>
      <c r="J4" t="s">
        <v>275</v>
      </c>
      <c r="K4" s="1" t="s">
        <v>686</v>
      </c>
    </row>
    <row r="5" spans="2:11" x14ac:dyDescent="0.25">
      <c r="B5" t="s">
        <v>740</v>
      </c>
      <c r="C5" t="s">
        <v>685</v>
      </c>
      <c r="D5" t="s">
        <v>695</v>
      </c>
      <c r="E5" t="s">
        <v>685</v>
      </c>
      <c r="F5" s="1" t="s">
        <v>732</v>
      </c>
      <c r="G5" t="s">
        <v>733</v>
      </c>
      <c r="H5" s="1" t="s">
        <v>739</v>
      </c>
      <c r="J5" t="s">
        <v>733</v>
      </c>
      <c r="K5" s="1" t="s">
        <v>686</v>
      </c>
    </row>
    <row r="6" spans="2:11" x14ac:dyDescent="0.25">
      <c r="B6" t="s">
        <v>740</v>
      </c>
      <c r="C6" t="s">
        <v>685</v>
      </c>
      <c r="D6" t="s">
        <v>696</v>
      </c>
      <c r="E6" t="s">
        <v>685</v>
      </c>
      <c r="F6" s="1" t="s">
        <v>732</v>
      </c>
      <c r="G6" t="s">
        <v>734</v>
      </c>
      <c r="H6" s="1" t="s">
        <v>739</v>
      </c>
      <c r="J6" t="s">
        <v>734</v>
      </c>
      <c r="K6" s="1" t="s">
        <v>686</v>
      </c>
    </row>
    <row r="7" spans="2:11" x14ac:dyDescent="0.25">
      <c r="B7" t="s">
        <v>740</v>
      </c>
      <c r="C7" t="s">
        <v>685</v>
      </c>
      <c r="D7" t="s">
        <v>697</v>
      </c>
      <c r="E7" t="s">
        <v>685</v>
      </c>
      <c r="F7" s="1" t="s">
        <v>732</v>
      </c>
      <c r="G7" t="s">
        <v>735</v>
      </c>
      <c r="H7" s="1" t="s">
        <v>739</v>
      </c>
      <c r="J7" t="s">
        <v>735</v>
      </c>
      <c r="K7" s="1" t="s">
        <v>686</v>
      </c>
    </row>
    <row r="8" spans="2:11" x14ac:dyDescent="0.25">
      <c r="B8" t="s">
        <v>740</v>
      </c>
      <c r="C8" t="s">
        <v>685</v>
      </c>
      <c r="D8" t="s">
        <v>698</v>
      </c>
      <c r="E8" t="s">
        <v>685</v>
      </c>
      <c r="F8" s="1" t="s">
        <v>732</v>
      </c>
      <c r="G8" t="s">
        <v>736</v>
      </c>
      <c r="H8" s="1" t="s">
        <v>739</v>
      </c>
      <c r="J8" t="s">
        <v>736</v>
      </c>
      <c r="K8" s="1" t="s">
        <v>686</v>
      </c>
    </row>
    <row r="9" spans="2:11" x14ac:dyDescent="0.25">
      <c r="B9" t="s">
        <v>740</v>
      </c>
      <c r="C9" t="s">
        <v>685</v>
      </c>
      <c r="D9" t="s">
        <v>699</v>
      </c>
      <c r="E9" t="s">
        <v>685</v>
      </c>
      <c r="F9" s="1" t="s">
        <v>732</v>
      </c>
      <c r="G9" t="s">
        <v>700</v>
      </c>
      <c r="H9" s="1" t="s">
        <v>739</v>
      </c>
      <c r="J9" t="s">
        <v>700</v>
      </c>
      <c r="K9" s="1" t="s">
        <v>686</v>
      </c>
    </row>
    <row r="10" spans="2:11" x14ac:dyDescent="0.25">
      <c r="B10" t="s">
        <v>740</v>
      </c>
      <c r="C10" t="s">
        <v>685</v>
      </c>
      <c r="D10" t="s">
        <v>701</v>
      </c>
      <c r="E10" t="s">
        <v>685</v>
      </c>
      <c r="F10" s="1" t="s">
        <v>732</v>
      </c>
      <c r="G10" t="s">
        <v>737</v>
      </c>
      <c r="H10" s="1" t="s">
        <v>739</v>
      </c>
      <c r="J10" t="s">
        <v>737</v>
      </c>
      <c r="K10" s="1" t="s">
        <v>686</v>
      </c>
    </row>
    <row r="11" spans="2:11" x14ac:dyDescent="0.25">
      <c r="B11" t="s">
        <v>740</v>
      </c>
      <c r="C11" t="s">
        <v>685</v>
      </c>
      <c r="D11" t="s">
        <v>702</v>
      </c>
      <c r="E11" t="s">
        <v>685</v>
      </c>
      <c r="F11" s="1" t="s">
        <v>732</v>
      </c>
      <c r="G11" t="s">
        <v>738</v>
      </c>
      <c r="H11" s="1" t="s">
        <v>739</v>
      </c>
      <c r="J11" t="s">
        <v>738</v>
      </c>
      <c r="K11" s="1" t="s">
        <v>686</v>
      </c>
    </row>
    <row r="12" spans="2:11" x14ac:dyDescent="0.25">
      <c r="B12" t="s">
        <v>740</v>
      </c>
      <c r="C12" t="s">
        <v>685</v>
      </c>
      <c r="D12" t="s">
        <v>703</v>
      </c>
      <c r="E12" t="s">
        <v>685</v>
      </c>
      <c r="F12" s="1" t="s">
        <v>732</v>
      </c>
      <c r="G12" t="s">
        <v>704</v>
      </c>
      <c r="H12" s="1" t="s">
        <v>739</v>
      </c>
      <c r="J12" t="s">
        <v>704</v>
      </c>
      <c r="K12" s="1" t="s">
        <v>686</v>
      </c>
    </row>
    <row r="13" spans="2:11" x14ac:dyDescent="0.25">
      <c r="B13" t="s">
        <v>740</v>
      </c>
      <c r="C13" t="s">
        <v>685</v>
      </c>
      <c r="D13" t="s">
        <v>705</v>
      </c>
      <c r="E13" t="s">
        <v>685</v>
      </c>
      <c r="F13" s="1" t="s">
        <v>732</v>
      </c>
      <c r="G13" t="s">
        <v>706</v>
      </c>
      <c r="H13" s="1" t="s">
        <v>739</v>
      </c>
      <c r="J13" t="s">
        <v>706</v>
      </c>
      <c r="K13" s="1" t="s">
        <v>686</v>
      </c>
    </row>
    <row r="14" spans="2:11" x14ac:dyDescent="0.25">
      <c r="B14" t="s">
        <v>740</v>
      </c>
      <c r="C14" t="s">
        <v>685</v>
      </c>
      <c r="D14" t="s">
        <v>707</v>
      </c>
      <c r="E14" t="s">
        <v>685</v>
      </c>
      <c r="F14" s="1" t="s">
        <v>732</v>
      </c>
      <c r="G14" t="s">
        <v>708</v>
      </c>
      <c r="H14" s="1" t="s">
        <v>739</v>
      </c>
      <c r="J14" t="s">
        <v>708</v>
      </c>
      <c r="K14" s="1" t="s">
        <v>686</v>
      </c>
    </row>
    <row r="15" spans="2:11" x14ac:dyDescent="0.25">
      <c r="B15" t="s">
        <v>740</v>
      </c>
      <c r="C15" t="s">
        <v>685</v>
      </c>
      <c r="D15" t="s">
        <v>709</v>
      </c>
      <c r="E15" t="s">
        <v>685</v>
      </c>
      <c r="F15" s="1" t="s">
        <v>732</v>
      </c>
      <c r="G15" t="s">
        <v>710</v>
      </c>
      <c r="H15" s="1" t="s">
        <v>739</v>
      </c>
      <c r="J15" t="s">
        <v>710</v>
      </c>
      <c r="K15" s="1" t="s">
        <v>686</v>
      </c>
    </row>
    <row r="16" spans="2:11" x14ac:dyDescent="0.25">
      <c r="B16" t="s">
        <v>740</v>
      </c>
      <c r="C16" t="s">
        <v>685</v>
      </c>
      <c r="D16" t="s">
        <v>711</v>
      </c>
      <c r="E16" t="s">
        <v>685</v>
      </c>
      <c r="F16" s="1" t="s">
        <v>732</v>
      </c>
      <c r="G16" t="s">
        <v>712</v>
      </c>
      <c r="H16" s="1" t="s">
        <v>739</v>
      </c>
      <c r="J16" t="s">
        <v>712</v>
      </c>
      <c r="K16" s="1" t="s">
        <v>686</v>
      </c>
    </row>
    <row r="17" spans="2:11" x14ac:dyDescent="0.25">
      <c r="B17" t="s">
        <v>740</v>
      </c>
      <c r="C17" t="s">
        <v>685</v>
      </c>
      <c r="D17" t="s">
        <v>713</v>
      </c>
      <c r="E17" t="s">
        <v>685</v>
      </c>
      <c r="F17" s="1" t="s">
        <v>732</v>
      </c>
      <c r="G17" t="s">
        <v>714</v>
      </c>
      <c r="H17" s="1" t="s">
        <v>739</v>
      </c>
      <c r="J17" t="s">
        <v>714</v>
      </c>
      <c r="K17" s="1" t="s">
        <v>686</v>
      </c>
    </row>
    <row r="18" spans="2:11" x14ac:dyDescent="0.25">
      <c r="B18" t="s">
        <v>740</v>
      </c>
      <c r="C18" t="s">
        <v>685</v>
      </c>
      <c r="D18" t="s">
        <v>715</v>
      </c>
      <c r="E18" t="s">
        <v>685</v>
      </c>
      <c r="F18" s="1" t="s">
        <v>732</v>
      </c>
      <c r="G18" t="s">
        <v>716</v>
      </c>
      <c r="H18" s="1" t="s">
        <v>739</v>
      </c>
      <c r="J18" t="s">
        <v>716</v>
      </c>
      <c r="K18" s="1" t="s">
        <v>686</v>
      </c>
    </row>
    <row r="19" spans="2:11" x14ac:dyDescent="0.25">
      <c r="B19" t="s">
        <v>740</v>
      </c>
      <c r="C19" t="s">
        <v>685</v>
      </c>
      <c r="D19" t="s">
        <v>717</v>
      </c>
      <c r="E19" t="s">
        <v>685</v>
      </c>
      <c r="F19" s="1" t="s">
        <v>732</v>
      </c>
      <c r="G19" t="s">
        <v>718</v>
      </c>
      <c r="H19" s="1" t="s">
        <v>739</v>
      </c>
      <c r="J19" t="s">
        <v>718</v>
      </c>
      <c r="K19" s="1" t="s">
        <v>686</v>
      </c>
    </row>
    <row r="20" spans="2:11" x14ac:dyDescent="0.25">
      <c r="B20" t="s">
        <v>740</v>
      </c>
      <c r="C20" t="s">
        <v>685</v>
      </c>
      <c r="D20" t="s">
        <v>719</v>
      </c>
      <c r="E20" t="s">
        <v>685</v>
      </c>
      <c r="F20" s="1" t="s">
        <v>732</v>
      </c>
      <c r="G20" t="s">
        <v>720</v>
      </c>
      <c r="H20" s="1" t="s">
        <v>739</v>
      </c>
      <c r="J20" t="s">
        <v>720</v>
      </c>
      <c r="K20" s="1" t="s">
        <v>686</v>
      </c>
    </row>
    <row r="21" spans="2:11" x14ac:dyDescent="0.25">
      <c r="B21" t="s">
        <v>740</v>
      </c>
      <c r="C21" t="s">
        <v>685</v>
      </c>
      <c r="D21" t="s">
        <v>721</v>
      </c>
      <c r="E21" t="s">
        <v>685</v>
      </c>
      <c r="F21" s="1" t="s">
        <v>732</v>
      </c>
      <c r="G21" t="s">
        <v>722</v>
      </c>
      <c r="H21" s="1" t="s">
        <v>739</v>
      </c>
      <c r="J21" t="s">
        <v>722</v>
      </c>
      <c r="K21" s="1" t="s">
        <v>686</v>
      </c>
    </row>
    <row r="22" spans="2:11" x14ac:dyDescent="0.25">
      <c r="B22" t="s">
        <v>740</v>
      </c>
      <c r="C22" t="s">
        <v>685</v>
      </c>
      <c r="D22" t="s">
        <v>723</v>
      </c>
      <c r="E22" t="s">
        <v>685</v>
      </c>
      <c r="F22" s="1" t="s">
        <v>732</v>
      </c>
      <c r="G22" t="s">
        <v>724</v>
      </c>
      <c r="H22" s="1" t="s">
        <v>739</v>
      </c>
      <c r="J22" t="s">
        <v>724</v>
      </c>
      <c r="K22" s="1" t="s">
        <v>686</v>
      </c>
    </row>
    <row r="23" spans="2:11" x14ac:dyDescent="0.25">
      <c r="B23" t="s">
        <v>740</v>
      </c>
      <c r="C23" t="s">
        <v>685</v>
      </c>
      <c r="D23" t="s">
        <v>725</v>
      </c>
      <c r="E23" t="s">
        <v>685</v>
      </c>
      <c r="F23" s="1" t="s">
        <v>732</v>
      </c>
      <c r="G23" t="s">
        <v>726</v>
      </c>
      <c r="H23" s="1" t="s">
        <v>739</v>
      </c>
      <c r="J23" t="s">
        <v>726</v>
      </c>
      <c r="K23" s="1" t="s">
        <v>686</v>
      </c>
    </row>
    <row r="24" spans="2:11" x14ac:dyDescent="0.25">
      <c r="B24" t="s">
        <v>740</v>
      </c>
      <c r="C24" t="s">
        <v>685</v>
      </c>
      <c r="D24" t="s">
        <v>727</v>
      </c>
      <c r="E24" t="s">
        <v>685</v>
      </c>
      <c r="F24" s="1" t="s">
        <v>732</v>
      </c>
      <c r="G24" t="s">
        <v>728</v>
      </c>
      <c r="H24" s="1" t="s">
        <v>739</v>
      </c>
      <c r="J24" t="s">
        <v>728</v>
      </c>
      <c r="K24" s="1" t="s">
        <v>686</v>
      </c>
    </row>
    <row r="25" spans="2:11" x14ac:dyDescent="0.25">
      <c r="B25" t="s">
        <v>740</v>
      </c>
      <c r="C25" t="s">
        <v>685</v>
      </c>
      <c r="D25" t="s">
        <v>729</v>
      </c>
      <c r="E25" t="s">
        <v>685</v>
      </c>
      <c r="F25" s="1" t="s">
        <v>732</v>
      </c>
      <c r="G25" t="s">
        <v>730</v>
      </c>
      <c r="H25" s="1" t="s">
        <v>739</v>
      </c>
      <c r="J25" t="s">
        <v>730</v>
      </c>
      <c r="K25" s="1" t="s">
        <v>686</v>
      </c>
    </row>
    <row r="26" spans="2:11" x14ac:dyDescent="0.25">
      <c r="B26" t="s">
        <v>740</v>
      </c>
      <c r="C26" t="s">
        <v>685</v>
      </c>
      <c r="D26" t="s">
        <v>731</v>
      </c>
      <c r="E26" t="s">
        <v>685</v>
      </c>
      <c r="F26" s="1" t="s">
        <v>732</v>
      </c>
      <c r="G26" t="s">
        <v>128</v>
      </c>
      <c r="H26" s="1" t="s">
        <v>739</v>
      </c>
      <c r="J26" t="s">
        <v>128</v>
      </c>
      <c r="K26" s="1" t="s">
        <v>741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C9C9-05A0-403E-BFFC-DF2CFCB89187}">
  <sheetPr codeName="Sheet7"/>
  <dimension ref="A1:K77"/>
  <sheetViews>
    <sheetView topLeftCell="A34" workbookViewId="0">
      <selection activeCell="C58" sqref="C58"/>
    </sheetView>
  </sheetViews>
  <sheetFormatPr defaultRowHeight="15" x14ac:dyDescent="0.25"/>
  <cols>
    <col min="1" max="1" width="31.85546875" bestFit="1" customWidth="1"/>
    <col min="6" max="8" width="9.140625" style="1"/>
    <col min="9" max="9" width="10.5703125" style="1" customWidth="1"/>
    <col min="10" max="10" width="61.140625" customWidth="1"/>
  </cols>
  <sheetData>
    <row r="1" spans="1:9" x14ac:dyDescent="0.25">
      <c r="A1" s="13" t="s">
        <v>271</v>
      </c>
      <c r="B1" s="1" t="s">
        <v>121</v>
      </c>
      <c r="C1" s="1">
        <v>0</v>
      </c>
      <c r="D1" s="1"/>
      <c r="E1" s="1"/>
      <c r="F1" s="1" t="s">
        <v>690</v>
      </c>
      <c r="G1" s="3" t="s">
        <v>273</v>
      </c>
      <c r="H1" s="28" t="s">
        <v>691</v>
      </c>
      <c r="I1" s="13" t="s">
        <v>274</v>
      </c>
    </row>
    <row r="2" spans="1:9" x14ac:dyDescent="0.25">
      <c r="A2" s="13" t="s">
        <v>3</v>
      </c>
      <c r="B2" s="1" t="s">
        <v>121</v>
      </c>
      <c r="C2" s="1">
        <v>1</v>
      </c>
      <c r="D2" s="1"/>
      <c r="E2" s="1"/>
      <c r="F2" s="1" t="s">
        <v>690</v>
      </c>
      <c r="G2" s="3" t="s">
        <v>73</v>
      </c>
      <c r="H2" s="28" t="s">
        <v>691</v>
      </c>
      <c r="I2" s="13" t="s">
        <v>277</v>
      </c>
    </row>
    <row r="3" spans="1:9" x14ac:dyDescent="0.25">
      <c r="A3" s="13" t="s">
        <v>674</v>
      </c>
      <c r="B3" s="1" t="s">
        <v>121</v>
      </c>
      <c r="C3" s="1">
        <v>2</v>
      </c>
      <c r="D3" s="1"/>
      <c r="E3" s="1"/>
      <c r="F3" s="1" t="s">
        <v>690</v>
      </c>
      <c r="G3" s="3" t="s">
        <v>275</v>
      </c>
      <c r="H3" s="28" t="s">
        <v>691</v>
      </c>
      <c r="I3" s="13" t="s">
        <v>409</v>
      </c>
    </row>
    <row r="4" spans="1:9" x14ac:dyDescent="0.25">
      <c r="A4" s="13" t="s">
        <v>186</v>
      </c>
      <c r="B4" s="1" t="s">
        <v>121</v>
      </c>
      <c r="C4" s="1">
        <v>3</v>
      </c>
      <c r="D4" s="1"/>
      <c r="E4" s="1"/>
      <c r="F4" s="1" t="s">
        <v>690</v>
      </c>
      <c r="G4" s="3" t="s">
        <v>68</v>
      </c>
      <c r="H4" s="28" t="s">
        <v>691</v>
      </c>
      <c r="I4" s="13" t="s">
        <v>270</v>
      </c>
    </row>
    <row r="5" spans="1:9" x14ac:dyDescent="0.25">
      <c r="A5" s="13" t="s">
        <v>187</v>
      </c>
      <c r="B5" s="1" t="s">
        <v>121</v>
      </c>
      <c r="C5" s="1">
        <v>4</v>
      </c>
      <c r="D5" s="1"/>
      <c r="E5" s="1"/>
      <c r="F5" s="1" t="s">
        <v>690</v>
      </c>
      <c r="G5" s="3" t="s">
        <v>69</v>
      </c>
      <c r="H5" s="28" t="s">
        <v>691</v>
      </c>
      <c r="I5" s="13" t="s">
        <v>279</v>
      </c>
    </row>
    <row r="6" spans="1:9" x14ac:dyDescent="0.25">
      <c r="A6" s="13" t="s">
        <v>188</v>
      </c>
      <c r="B6" s="1" t="s">
        <v>121</v>
      </c>
      <c r="C6" s="1">
        <v>5</v>
      </c>
      <c r="D6" s="1"/>
      <c r="E6" s="1"/>
      <c r="F6" s="1" t="s">
        <v>690</v>
      </c>
      <c r="G6" s="3" t="s">
        <v>70</v>
      </c>
      <c r="H6" s="28" t="s">
        <v>691</v>
      </c>
      <c r="I6" s="13" t="s">
        <v>280</v>
      </c>
    </row>
    <row r="7" spans="1:9" x14ac:dyDescent="0.25">
      <c r="A7" s="13" t="s">
        <v>189</v>
      </c>
      <c r="B7" s="1" t="s">
        <v>121</v>
      </c>
      <c r="C7" s="1">
        <v>6</v>
      </c>
      <c r="D7" s="1"/>
      <c r="E7" s="1"/>
      <c r="F7" s="1" t="s">
        <v>690</v>
      </c>
      <c r="G7" s="3" t="s">
        <v>291</v>
      </c>
      <c r="H7" s="28" t="s">
        <v>691</v>
      </c>
      <c r="I7" s="13" t="s">
        <v>281</v>
      </c>
    </row>
    <row r="8" spans="1:9" x14ac:dyDescent="0.25">
      <c r="A8" s="13" t="s">
        <v>272</v>
      </c>
      <c r="B8" s="1" t="s">
        <v>121</v>
      </c>
      <c r="C8" s="1">
        <v>7</v>
      </c>
      <c r="D8" s="1"/>
      <c r="E8" s="1"/>
      <c r="F8" s="1" t="s">
        <v>690</v>
      </c>
      <c r="G8" s="3" t="s">
        <v>283</v>
      </c>
      <c r="H8" s="28" t="s">
        <v>691</v>
      </c>
      <c r="I8" s="13" t="s">
        <v>282</v>
      </c>
    </row>
    <row r="9" spans="1:9" x14ac:dyDescent="0.25">
      <c r="A9" s="13" t="s">
        <v>23</v>
      </c>
      <c r="B9" s="1" t="s">
        <v>121</v>
      </c>
      <c r="C9" s="1">
        <v>8</v>
      </c>
      <c r="D9" s="1"/>
      <c r="E9" s="1"/>
      <c r="F9" s="1" t="s">
        <v>690</v>
      </c>
      <c r="G9" s="3" t="s">
        <v>72</v>
      </c>
      <c r="H9" s="28" t="s">
        <v>691</v>
      </c>
      <c r="I9" s="13" t="s">
        <v>362</v>
      </c>
    </row>
    <row r="10" spans="1:9" x14ac:dyDescent="0.25">
      <c r="A10" s="13" t="s">
        <v>4</v>
      </c>
      <c r="B10" s="1" t="s">
        <v>121</v>
      </c>
      <c r="C10" s="1">
        <v>9</v>
      </c>
      <c r="D10" s="1"/>
      <c r="E10" s="1"/>
      <c r="F10" s="1" t="s">
        <v>690</v>
      </c>
      <c r="G10" s="3" t="s">
        <v>71</v>
      </c>
      <c r="H10" s="28" t="s">
        <v>691</v>
      </c>
      <c r="I10" s="13" t="s">
        <v>363</v>
      </c>
    </row>
    <row r="11" spans="1:9" x14ac:dyDescent="0.25">
      <c r="A11" s="13" t="s">
        <v>183</v>
      </c>
      <c r="B11" s="1" t="s">
        <v>121</v>
      </c>
      <c r="C11" s="1">
        <v>10</v>
      </c>
      <c r="D11" s="1"/>
      <c r="E11" s="1"/>
      <c r="F11" s="1" t="s">
        <v>690</v>
      </c>
      <c r="G11" s="3" t="s">
        <v>80</v>
      </c>
      <c r="H11" s="28" t="s">
        <v>691</v>
      </c>
      <c r="I11" s="13" t="s">
        <v>350</v>
      </c>
    </row>
    <row r="12" spans="1:9" x14ac:dyDescent="0.25">
      <c r="A12" s="13" t="s">
        <v>184</v>
      </c>
      <c r="B12" s="1" t="s">
        <v>121</v>
      </c>
      <c r="C12" s="1">
        <v>11</v>
      </c>
      <c r="D12" s="1"/>
      <c r="E12" s="1"/>
      <c r="F12" s="1" t="s">
        <v>690</v>
      </c>
      <c r="G12" s="3" t="s">
        <v>81</v>
      </c>
      <c r="H12" s="28" t="s">
        <v>691</v>
      </c>
      <c r="I12" s="13" t="s">
        <v>351</v>
      </c>
    </row>
    <row r="13" spans="1:9" x14ac:dyDescent="0.25">
      <c r="A13" s="13" t="s">
        <v>185</v>
      </c>
      <c r="B13" s="1" t="s">
        <v>121</v>
      </c>
      <c r="C13" s="1">
        <v>12</v>
      </c>
      <c r="D13" s="1"/>
      <c r="E13" s="1"/>
      <c r="F13" s="1" t="s">
        <v>690</v>
      </c>
      <c r="G13" s="3" t="s">
        <v>82</v>
      </c>
      <c r="H13" s="28" t="s">
        <v>691</v>
      </c>
      <c r="I13" s="13" t="s">
        <v>352</v>
      </c>
    </row>
    <row r="14" spans="1:9" x14ac:dyDescent="0.25">
      <c r="A14" s="13" t="s">
        <v>190</v>
      </c>
      <c r="B14" s="1" t="s">
        <v>121</v>
      </c>
      <c r="C14" s="1">
        <v>13</v>
      </c>
      <c r="D14" s="1"/>
      <c r="E14" s="1"/>
      <c r="F14" s="1" t="s">
        <v>690</v>
      </c>
      <c r="G14" s="3" t="s">
        <v>284</v>
      </c>
      <c r="H14" s="28" t="s">
        <v>691</v>
      </c>
      <c r="I14" s="13" t="s">
        <v>353</v>
      </c>
    </row>
    <row r="15" spans="1:9" x14ac:dyDescent="0.25">
      <c r="A15" s="13" t="s">
        <v>191</v>
      </c>
      <c r="B15" s="1" t="s">
        <v>121</v>
      </c>
      <c r="C15" s="1">
        <v>14</v>
      </c>
      <c r="D15" s="1"/>
      <c r="E15" s="1"/>
      <c r="F15" s="1" t="s">
        <v>690</v>
      </c>
      <c r="G15" s="3" t="s">
        <v>285</v>
      </c>
      <c r="H15" s="28" t="s">
        <v>691</v>
      </c>
      <c r="I15" s="13" t="s">
        <v>354</v>
      </c>
    </row>
    <row r="16" spans="1:9" x14ac:dyDescent="0.25">
      <c r="A16" s="13" t="s">
        <v>192</v>
      </c>
      <c r="B16" s="1" t="s">
        <v>121</v>
      </c>
      <c r="C16" s="1">
        <v>15</v>
      </c>
      <c r="D16" s="1"/>
      <c r="E16" s="1"/>
      <c r="F16" s="1" t="s">
        <v>690</v>
      </c>
      <c r="G16" s="3" t="s">
        <v>286</v>
      </c>
      <c r="H16" s="28" t="s">
        <v>691</v>
      </c>
      <c r="I16" s="13" t="s">
        <v>355</v>
      </c>
    </row>
    <row r="17" spans="1:10" x14ac:dyDescent="0.25">
      <c r="A17" s="13" t="s">
        <v>28</v>
      </c>
      <c r="B17" s="1" t="s">
        <v>121</v>
      </c>
      <c r="C17" s="1">
        <v>16</v>
      </c>
      <c r="D17" s="1"/>
      <c r="E17" s="1"/>
      <c r="F17" s="1" t="s">
        <v>690</v>
      </c>
      <c r="G17" s="3" t="s">
        <v>74</v>
      </c>
      <c r="H17" s="28" t="s">
        <v>691</v>
      </c>
      <c r="I17" s="13" t="s">
        <v>356</v>
      </c>
    </row>
    <row r="18" spans="1:10" x14ac:dyDescent="0.25">
      <c r="A18" s="13" t="s">
        <v>29</v>
      </c>
      <c r="B18" s="1" t="s">
        <v>121</v>
      </c>
      <c r="C18" s="1">
        <v>17</v>
      </c>
      <c r="D18" s="1"/>
      <c r="E18" s="1"/>
      <c r="F18" s="1" t="s">
        <v>690</v>
      </c>
      <c r="G18" s="3" t="s">
        <v>75</v>
      </c>
      <c r="H18" s="28" t="s">
        <v>691</v>
      </c>
      <c r="I18" s="13" t="s">
        <v>357</v>
      </c>
    </row>
    <row r="19" spans="1:10" x14ac:dyDescent="0.25">
      <c r="A19" s="13" t="s">
        <v>30</v>
      </c>
      <c r="B19" s="1" t="s">
        <v>121</v>
      </c>
      <c r="C19" s="1">
        <v>18</v>
      </c>
      <c r="D19" s="1"/>
      <c r="E19" s="1"/>
      <c r="F19" s="1" t="s">
        <v>690</v>
      </c>
      <c r="G19" s="3" t="s">
        <v>76</v>
      </c>
      <c r="H19" s="28" t="s">
        <v>691</v>
      </c>
      <c r="I19" s="13" t="s">
        <v>358</v>
      </c>
    </row>
    <row r="20" spans="1:10" x14ac:dyDescent="0.25">
      <c r="A20" s="13" t="s">
        <v>31</v>
      </c>
      <c r="B20" s="1" t="s">
        <v>121</v>
      </c>
      <c r="C20" s="1">
        <v>19</v>
      </c>
      <c r="D20" s="1"/>
      <c r="E20" s="1"/>
      <c r="F20" s="1" t="s">
        <v>690</v>
      </c>
      <c r="G20" s="3" t="s">
        <v>77</v>
      </c>
      <c r="H20" s="28" t="s">
        <v>691</v>
      </c>
      <c r="I20" s="13" t="s">
        <v>359</v>
      </c>
    </row>
    <row r="21" spans="1:10" x14ac:dyDescent="0.25">
      <c r="A21" s="13" t="s">
        <v>32</v>
      </c>
      <c r="B21" s="1" t="s">
        <v>121</v>
      </c>
      <c r="C21" s="1">
        <v>20</v>
      </c>
      <c r="D21" s="1"/>
      <c r="E21" s="1"/>
      <c r="F21" s="1" t="s">
        <v>690</v>
      </c>
      <c r="G21" s="3" t="s">
        <v>78</v>
      </c>
      <c r="H21" s="28" t="s">
        <v>691</v>
      </c>
      <c r="I21" s="13" t="s">
        <v>360</v>
      </c>
    </row>
    <row r="22" spans="1:10" x14ac:dyDescent="0.25">
      <c r="A22" s="13" t="s">
        <v>33</v>
      </c>
      <c r="B22" s="1" t="s">
        <v>121</v>
      </c>
      <c r="C22" s="1">
        <v>21</v>
      </c>
      <c r="D22" s="1"/>
      <c r="E22" s="1"/>
      <c r="F22" s="1" t="s">
        <v>690</v>
      </c>
      <c r="G22" s="3" t="s">
        <v>79</v>
      </c>
      <c r="H22" s="28" t="s">
        <v>691</v>
      </c>
      <c r="I22" s="13" t="s">
        <v>361</v>
      </c>
    </row>
    <row r="23" spans="1:10" x14ac:dyDescent="0.25">
      <c r="A23" s="13" t="s">
        <v>675</v>
      </c>
      <c r="B23" s="1" t="s">
        <v>121</v>
      </c>
      <c r="C23" s="1">
        <v>22</v>
      </c>
      <c r="D23" s="1"/>
      <c r="E23" s="1"/>
      <c r="F23" s="1" t="s">
        <v>690</v>
      </c>
      <c r="G23" s="3" t="s">
        <v>287</v>
      </c>
      <c r="H23" s="28" t="s">
        <v>691</v>
      </c>
      <c r="I23" s="13" t="s">
        <v>409</v>
      </c>
    </row>
    <row r="24" spans="1:10" x14ac:dyDescent="0.25">
      <c r="A24" s="13" t="s">
        <v>129</v>
      </c>
      <c r="B24" s="1" t="s">
        <v>121</v>
      </c>
      <c r="C24" s="1">
        <v>23</v>
      </c>
      <c r="D24" s="1"/>
      <c r="E24" s="1"/>
      <c r="F24" s="1" t="s">
        <v>690</v>
      </c>
      <c r="G24" s="3" t="s">
        <v>128</v>
      </c>
      <c r="H24" s="28" t="s">
        <v>691</v>
      </c>
      <c r="I24" s="13" t="s">
        <v>365</v>
      </c>
    </row>
    <row r="25" spans="1:10" x14ac:dyDescent="0.25">
      <c r="A25" s="13" t="s">
        <v>132</v>
      </c>
      <c r="B25" s="1" t="s">
        <v>121</v>
      </c>
      <c r="C25" s="1">
        <v>24</v>
      </c>
      <c r="D25" s="1"/>
      <c r="E25" s="1"/>
      <c r="F25" s="1" t="s">
        <v>690</v>
      </c>
      <c r="G25" s="3" t="s">
        <v>128</v>
      </c>
      <c r="H25" s="28" t="s">
        <v>691</v>
      </c>
      <c r="I25" s="13" t="s">
        <v>364</v>
      </c>
    </row>
    <row r="26" spans="1:10" x14ac:dyDescent="0.25">
      <c r="A26" s="13"/>
      <c r="B26" s="1"/>
      <c r="C26" s="1"/>
      <c r="D26" s="1"/>
      <c r="E26" s="1"/>
      <c r="G26" s="3"/>
      <c r="H26" s="3"/>
      <c r="I26" s="3"/>
      <c r="J26" s="13"/>
    </row>
    <row r="27" spans="1:10" x14ac:dyDescent="0.25">
      <c r="A27" s="13"/>
      <c r="B27" s="1"/>
      <c r="C27" s="1"/>
      <c r="D27" s="1"/>
      <c r="E27" s="1"/>
      <c r="G27" s="3"/>
      <c r="H27" s="3"/>
      <c r="I27" s="3"/>
      <c r="J27" s="13"/>
    </row>
    <row r="28" spans="1:10" x14ac:dyDescent="0.25">
      <c r="A28" s="13"/>
      <c r="B28" s="1"/>
      <c r="C28" s="1"/>
      <c r="D28" s="1"/>
      <c r="E28" s="1"/>
      <c r="G28" s="3"/>
      <c r="H28" s="3"/>
      <c r="I28" s="3"/>
      <c r="J28" s="13"/>
    </row>
    <row r="29" spans="1:10" x14ac:dyDescent="0.25">
      <c r="A29" s="13"/>
      <c r="B29" s="1"/>
      <c r="C29" s="1"/>
      <c r="D29" s="1"/>
      <c r="E29" s="1"/>
      <c r="G29" s="3"/>
      <c r="H29" s="3"/>
      <c r="I29" s="3"/>
      <c r="J29" s="13"/>
    </row>
    <row r="30" spans="1:10" x14ac:dyDescent="0.25">
      <c r="A30" s="15" t="s">
        <v>390</v>
      </c>
      <c r="B30" s="1" t="s">
        <v>121</v>
      </c>
      <c r="C30" s="1">
        <v>53</v>
      </c>
      <c r="D30" s="1"/>
      <c r="E30" s="1"/>
      <c r="F30" s="1" t="s">
        <v>194</v>
      </c>
      <c r="G30" s="14" t="s">
        <v>247</v>
      </c>
      <c r="H30" s="14" t="s">
        <v>288</v>
      </c>
      <c r="I30" s="19" t="s">
        <v>293</v>
      </c>
      <c r="J30" s="15" t="s">
        <v>292</v>
      </c>
    </row>
    <row r="31" spans="1:10" x14ac:dyDescent="0.25">
      <c r="A31" s="15" t="s">
        <v>391</v>
      </c>
      <c r="B31" s="1" t="s">
        <v>121</v>
      </c>
      <c r="C31" s="1">
        <v>54</v>
      </c>
      <c r="D31" s="1"/>
      <c r="E31" s="1"/>
      <c r="F31" s="1" t="s">
        <v>194</v>
      </c>
      <c r="G31" s="14" t="s">
        <v>247</v>
      </c>
      <c r="H31" s="14" t="s">
        <v>288</v>
      </c>
      <c r="I31" s="19" t="s">
        <v>293</v>
      </c>
      <c r="J31" s="15" t="s">
        <v>292</v>
      </c>
    </row>
    <row r="32" spans="1:10" x14ac:dyDescent="0.25">
      <c r="A32" s="15" t="s">
        <v>392</v>
      </c>
      <c r="B32" s="1" t="s">
        <v>121</v>
      </c>
      <c r="C32" s="1">
        <v>55</v>
      </c>
      <c r="D32" s="1"/>
      <c r="E32" s="1"/>
      <c r="F32" s="1" t="s">
        <v>194</v>
      </c>
      <c r="G32" s="14" t="s">
        <v>247</v>
      </c>
      <c r="H32" s="14" t="s">
        <v>288</v>
      </c>
      <c r="I32" s="19" t="s">
        <v>293</v>
      </c>
      <c r="J32" s="15" t="s">
        <v>292</v>
      </c>
    </row>
    <row r="33" spans="1:10" x14ac:dyDescent="0.25">
      <c r="A33" s="15" t="s">
        <v>393</v>
      </c>
      <c r="B33" s="1" t="s">
        <v>121</v>
      </c>
      <c r="C33" s="1">
        <v>56</v>
      </c>
      <c r="D33" s="1"/>
      <c r="E33" s="1"/>
      <c r="F33" s="1" t="s">
        <v>194</v>
      </c>
      <c r="G33" s="14" t="s">
        <v>247</v>
      </c>
      <c r="H33" s="14" t="s">
        <v>288</v>
      </c>
      <c r="I33" s="19" t="s">
        <v>293</v>
      </c>
      <c r="J33" s="15" t="s">
        <v>292</v>
      </c>
    </row>
    <row r="34" spans="1:10" x14ac:dyDescent="0.25">
      <c r="A34" s="15" t="s">
        <v>426</v>
      </c>
      <c r="B34" s="1" t="s">
        <v>121</v>
      </c>
      <c r="C34" s="1">
        <v>57</v>
      </c>
      <c r="D34" s="1"/>
      <c r="E34" s="1"/>
      <c r="F34" s="1" t="s">
        <v>194</v>
      </c>
      <c r="G34" s="14" t="s">
        <v>247</v>
      </c>
      <c r="H34" s="14" t="s">
        <v>288</v>
      </c>
      <c r="I34" s="19" t="s">
        <v>293</v>
      </c>
      <c r="J34" s="15" t="s">
        <v>292</v>
      </c>
    </row>
    <row r="35" spans="1:10" x14ac:dyDescent="0.25">
      <c r="A35" s="15" t="s">
        <v>427</v>
      </c>
      <c r="B35" s="1" t="s">
        <v>121</v>
      </c>
      <c r="C35" s="1">
        <v>58</v>
      </c>
      <c r="D35" s="1"/>
      <c r="E35" s="1"/>
      <c r="F35" s="1" t="s">
        <v>194</v>
      </c>
      <c r="G35" s="14" t="s">
        <v>247</v>
      </c>
      <c r="H35" s="14" t="s">
        <v>288</v>
      </c>
      <c r="I35" s="19" t="s">
        <v>293</v>
      </c>
      <c r="J35" s="15" t="s">
        <v>292</v>
      </c>
    </row>
    <row r="36" spans="1:10" x14ac:dyDescent="0.25">
      <c r="A36" s="15" t="s">
        <v>428</v>
      </c>
      <c r="B36" s="1" t="s">
        <v>121</v>
      </c>
      <c r="C36" s="1">
        <v>59</v>
      </c>
      <c r="D36" s="1"/>
      <c r="E36" s="1"/>
      <c r="F36" s="1" t="s">
        <v>194</v>
      </c>
      <c r="G36" s="14" t="s">
        <v>247</v>
      </c>
      <c r="H36" s="14" t="s">
        <v>288</v>
      </c>
      <c r="I36" s="19" t="s">
        <v>293</v>
      </c>
      <c r="J36" s="15" t="s">
        <v>292</v>
      </c>
    </row>
    <row r="37" spans="1:10" x14ac:dyDescent="0.25">
      <c r="A37" s="15" t="s">
        <v>429</v>
      </c>
      <c r="B37" s="1" t="s">
        <v>121</v>
      </c>
      <c r="C37" s="1">
        <v>60</v>
      </c>
      <c r="D37" s="1"/>
      <c r="E37" s="1"/>
      <c r="F37" s="1" t="s">
        <v>194</v>
      </c>
      <c r="G37" s="14" t="s">
        <v>247</v>
      </c>
      <c r="H37" s="14" t="s">
        <v>288</v>
      </c>
      <c r="I37" s="19" t="s">
        <v>293</v>
      </c>
      <c r="J37" s="15" t="s">
        <v>292</v>
      </c>
    </row>
    <row r="38" spans="1:10" x14ac:dyDescent="0.25">
      <c r="A38" s="15" t="s">
        <v>394</v>
      </c>
      <c r="B38" s="1" t="s">
        <v>121</v>
      </c>
      <c r="C38" s="1">
        <v>61</v>
      </c>
      <c r="D38" s="1"/>
      <c r="E38" s="1"/>
      <c r="F38" s="1" t="s">
        <v>194</v>
      </c>
      <c r="G38" s="14" t="s">
        <v>247</v>
      </c>
      <c r="H38" s="14" t="s">
        <v>288</v>
      </c>
      <c r="I38" s="19" t="s">
        <v>293</v>
      </c>
      <c r="J38" s="15" t="s">
        <v>292</v>
      </c>
    </row>
    <row r="39" spans="1:10" x14ac:dyDescent="0.25">
      <c r="A39" s="15" t="s">
        <v>395</v>
      </c>
      <c r="B39" s="1" t="s">
        <v>121</v>
      </c>
      <c r="C39" s="1">
        <v>62</v>
      </c>
      <c r="D39" s="1"/>
      <c r="E39" s="1"/>
      <c r="F39" s="1" t="s">
        <v>194</v>
      </c>
      <c r="G39" s="14" t="s">
        <v>247</v>
      </c>
      <c r="H39" s="14" t="s">
        <v>288</v>
      </c>
      <c r="I39" s="19" t="s">
        <v>293</v>
      </c>
      <c r="J39" s="15" t="s">
        <v>292</v>
      </c>
    </row>
    <row r="40" spans="1:10" x14ac:dyDescent="0.25">
      <c r="A40" s="15" t="s">
        <v>396</v>
      </c>
      <c r="B40" s="1" t="s">
        <v>121</v>
      </c>
      <c r="C40" s="1">
        <v>63</v>
      </c>
      <c r="D40" s="1"/>
      <c r="E40" s="1"/>
      <c r="F40" s="1" t="s">
        <v>194</v>
      </c>
      <c r="G40" s="14" t="s">
        <v>247</v>
      </c>
      <c r="H40" s="14" t="s">
        <v>288</v>
      </c>
      <c r="I40" s="19" t="s">
        <v>293</v>
      </c>
      <c r="J40" s="15" t="s">
        <v>292</v>
      </c>
    </row>
    <row r="41" spans="1:10" x14ac:dyDescent="0.25">
      <c r="A41" s="15" t="s">
        <v>397</v>
      </c>
      <c r="B41" s="1" t="s">
        <v>121</v>
      </c>
      <c r="C41" s="1">
        <v>64</v>
      </c>
      <c r="D41" s="1"/>
      <c r="E41" s="1"/>
      <c r="F41" s="1" t="s">
        <v>194</v>
      </c>
      <c r="G41" s="14" t="s">
        <v>247</v>
      </c>
      <c r="H41" s="14" t="s">
        <v>288</v>
      </c>
      <c r="I41" s="19" t="s">
        <v>293</v>
      </c>
      <c r="J41" s="15" t="s">
        <v>292</v>
      </c>
    </row>
    <row r="42" spans="1:10" x14ac:dyDescent="0.25">
      <c r="A42" s="15" t="s">
        <v>398</v>
      </c>
      <c r="B42" s="1" t="s">
        <v>121</v>
      </c>
      <c r="C42" s="1">
        <v>65</v>
      </c>
      <c r="D42" s="1"/>
      <c r="E42" s="1"/>
      <c r="F42" s="1" t="s">
        <v>194</v>
      </c>
      <c r="G42" s="14" t="s">
        <v>247</v>
      </c>
      <c r="H42" s="14" t="s">
        <v>288</v>
      </c>
      <c r="I42" s="19" t="s">
        <v>293</v>
      </c>
      <c r="J42" s="15" t="s">
        <v>292</v>
      </c>
    </row>
    <row r="43" spans="1:10" x14ac:dyDescent="0.25">
      <c r="A43" s="15" t="s">
        <v>399</v>
      </c>
      <c r="B43" s="1" t="s">
        <v>121</v>
      </c>
      <c r="C43" s="1">
        <v>66</v>
      </c>
      <c r="D43" s="1"/>
      <c r="E43" s="1"/>
      <c r="F43" s="1" t="s">
        <v>194</v>
      </c>
      <c r="G43" s="14" t="s">
        <v>247</v>
      </c>
      <c r="H43" s="14" t="s">
        <v>288</v>
      </c>
      <c r="I43" s="19" t="s">
        <v>293</v>
      </c>
      <c r="J43" s="15" t="s">
        <v>292</v>
      </c>
    </row>
    <row r="44" spans="1:10" x14ac:dyDescent="0.25">
      <c r="A44" s="15" t="s">
        <v>400</v>
      </c>
      <c r="B44" s="1" t="s">
        <v>121</v>
      </c>
      <c r="C44" s="1">
        <v>67</v>
      </c>
      <c r="D44" s="1"/>
      <c r="E44" s="1"/>
      <c r="F44" s="1" t="s">
        <v>194</v>
      </c>
      <c r="G44" s="14" t="s">
        <v>247</v>
      </c>
      <c r="H44" s="14" t="s">
        <v>288</v>
      </c>
      <c r="I44" s="19" t="s">
        <v>293</v>
      </c>
      <c r="J44" s="15" t="s">
        <v>292</v>
      </c>
    </row>
    <row r="45" spans="1:10" x14ac:dyDescent="0.25">
      <c r="A45" s="15" t="s">
        <v>401</v>
      </c>
      <c r="B45" s="1" t="s">
        <v>121</v>
      </c>
      <c r="C45" s="1">
        <v>68</v>
      </c>
      <c r="D45" s="1"/>
      <c r="E45" s="1"/>
      <c r="F45" s="1" t="s">
        <v>194</v>
      </c>
      <c r="G45" s="14" t="s">
        <v>247</v>
      </c>
      <c r="H45" s="14" t="s">
        <v>288</v>
      </c>
      <c r="I45" s="19" t="s">
        <v>293</v>
      </c>
      <c r="J45" s="15" t="s">
        <v>292</v>
      </c>
    </row>
    <row r="46" spans="1:10" x14ac:dyDescent="0.25">
      <c r="A46" s="15" t="s">
        <v>402</v>
      </c>
      <c r="B46" s="1" t="s">
        <v>121</v>
      </c>
      <c r="C46" s="1">
        <v>69</v>
      </c>
      <c r="D46" s="1"/>
      <c r="E46" s="1"/>
      <c r="F46" s="1" t="s">
        <v>194</v>
      </c>
      <c r="G46" s="14" t="s">
        <v>247</v>
      </c>
      <c r="H46" s="14" t="s">
        <v>288</v>
      </c>
      <c r="I46" s="19" t="s">
        <v>293</v>
      </c>
      <c r="J46" s="15" t="s">
        <v>292</v>
      </c>
    </row>
    <row r="47" spans="1:10" x14ac:dyDescent="0.25">
      <c r="A47" s="15" t="s">
        <v>403</v>
      </c>
      <c r="B47" s="1" t="s">
        <v>121</v>
      </c>
      <c r="C47" s="1">
        <v>70</v>
      </c>
      <c r="D47" s="1"/>
      <c r="E47" s="1"/>
      <c r="F47" s="1" t="s">
        <v>194</v>
      </c>
      <c r="G47" s="14" t="s">
        <v>247</v>
      </c>
      <c r="H47" s="14" t="s">
        <v>288</v>
      </c>
      <c r="I47" s="19" t="s">
        <v>293</v>
      </c>
      <c r="J47" s="15" t="s">
        <v>292</v>
      </c>
    </row>
    <row r="48" spans="1:10" x14ac:dyDescent="0.25">
      <c r="A48" s="15" t="s">
        <v>404</v>
      </c>
      <c r="B48" s="1" t="s">
        <v>121</v>
      </c>
      <c r="C48" s="1">
        <v>71</v>
      </c>
      <c r="D48" s="1"/>
      <c r="E48" s="1"/>
      <c r="F48" s="1" t="s">
        <v>194</v>
      </c>
      <c r="G48" s="14" t="s">
        <v>247</v>
      </c>
      <c r="H48" s="14" t="s">
        <v>288</v>
      </c>
      <c r="I48" s="19" t="s">
        <v>293</v>
      </c>
      <c r="J48" s="15" t="s">
        <v>292</v>
      </c>
    </row>
    <row r="49" spans="1:11" x14ac:dyDescent="0.25">
      <c r="A49" s="15" t="s">
        <v>405</v>
      </c>
      <c r="B49" s="1" t="s">
        <v>121</v>
      </c>
      <c r="C49" s="1">
        <v>72</v>
      </c>
      <c r="D49" s="1"/>
      <c r="E49" s="1"/>
      <c r="F49" s="1" t="s">
        <v>194</v>
      </c>
      <c r="G49" s="14" t="s">
        <v>247</v>
      </c>
      <c r="H49" s="14" t="s">
        <v>288</v>
      </c>
      <c r="I49" s="19" t="s">
        <v>293</v>
      </c>
      <c r="J49" s="15" t="s">
        <v>292</v>
      </c>
    </row>
    <row r="50" spans="1:11" x14ac:dyDescent="0.25">
      <c r="B50" s="1"/>
      <c r="C50" s="1"/>
      <c r="D50" s="1"/>
      <c r="E50" s="1"/>
    </row>
    <row r="51" spans="1:11" x14ac:dyDescent="0.25">
      <c r="B51" s="1"/>
    </row>
    <row r="52" spans="1:11" x14ac:dyDescent="0.25">
      <c r="B52" s="1"/>
    </row>
    <row r="53" spans="1:11" x14ac:dyDescent="0.25">
      <c r="B53" t="s">
        <v>692</v>
      </c>
      <c r="C53" t="s">
        <v>685</v>
      </c>
      <c r="D53" s="1" t="s">
        <v>732</v>
      </c>
      <c r="E53" t="s">
        <v>685</v>
      </c>
      <c r="F53" t="s">
        <v>73</v>
      </c>
      <c r="G53" t="s">
        <v>685</v>
      </c>
      <c r="H53" s="1" t="s">
        <v>739</v>
      </c>
      <c r="J53" s="1"/>
      <c r="K53" s="1"/>
    </row>
    <row r="54" spans="1:11" x14ac:dyDescent="0.25">
      <c r="B54" t="s">
        <v>693</v>
      </c>
      <c r="C54" t="s">
        <v>685</v>
      </c>
      <c r="D54" s="1" t="s">
        <v>732</v>
      </c>
      <c r="E54" t="s">
        <v>685</v>
      </c>
      <c r="F54" t="s">
        <v>273</v>
      </c>
      <c r="G54" t="s">
        <v>685</v>
      </c>
      <c r="H54" s="1" t="s">
        <v>739</v>
      </c>
      <c r="J54" s="1"/>
      <c r="K54" s="1"/>
    </row>
    <row r="55" spans="1:11" x14ac:dyDescent="0.25">
      <c r="B55" t="s">
        <v>694</v>
      </c>
      <c r="C55" t="s">
        <v>685</v>
      </c>
      <c r="D55" s="1" t="s">
        <v>732</v>
      </c>
      <c r="E55" t="s">
        <v>685</v>
      </c>
      <c r="F55" t="s">
        <v>275</v>
      </c>
      <c r="G55" t="s">
        <v>685</v>
      </c>
      <c r="H55" s="1" t="s">
        <v>739</v>
      </c>
      <c r="J55" s="1"/>
      <c r="K55" s="1"/>
    </row>
    <row r="56" spans="1:11" x14ac:dyDescent="0.25">
      <c r="B56" t="s">
        <v>695</v>
      </c>
      <c r="C56" t="s">
        <v>685</v>
      </c>
      <c r="D56" s="1" t="s">
        <v>732</v>
      </c>
      <c r="E56" t="s">
        <v>685</v>
      </c>
      <c r="F56" t="s">
        <v>733</v>
      </c>
      <c r="G56" t="s">
        <v>685</v>
      </c>
      <c r="H56" s="1" t="s">
        <v>739</v>
      </c>
      <c r="J56" s="1"/>
      <c r="K56" s="1"/>
    </row>
    <row r="57" spans="1:11" x14ac:dyDescent="0.25">
      <c r="B57" t="s">
        <v>696</v>
      </c>
      <c r="C57" t="s">
        <v>685</v>
      </c>
      <c r="D57" s="1" t="s">
        <v>732</v>
      </c>
      <c r="E57" t="s">
        <v>685</v>
      </c>
      <c r="F57" t="s">
        <v>734</v>
      </c>
      <c r="G57" t="s">
        <v>685</v>
      </c>
      <c r="H57" s="1" t="s">
        <v>739</v>
      </c>
      <c r="J57" s="1"/>
      <c r="K57" s="1"/>
    </row>
    <row r="58" spans="1:11" x14ac:dyDescent="0.25">
      <c r="B58" t="s">
        <v>697</v>
      </c>
      <c r="C58" t="s">
        <v>685</v>
      </c>
      <c r="D58" s="1" t="s">
        <v>732</v>
      </c>
      <c r="E58" t="s">
        <v>685</v>
      </c>
      <c r="F58" t="s">
        <v>735</v>
      </c>
      <c r="G58" t="s">
        <v>685</v>
      </c>
      <c r="H58" s="1" t="s">
        <v>739</v>
      </c>
      <c r="J58" s="1"/>
      <c r="K58" s="1"/>
    </row>
    <row r="59" spans="1:11" x14ac:dyDescent="0.25">
      <c r="B59" t="s">
        <v>698</v>
      </c>
      <c r="C59" t="s">
        <v>685</v>
      </c>
      <c r="D59" s="1" t="s">
        <v>732</v>
      </c>
      <c r="E59" t="s">
        <v>685</v>
      </c>
      <c r="F59" t="s">
        <v>736</v>
      </c>
      <c r="G59" t="s">
        <v>685</v>
      </c>
      <c r="H59" s="1" t="s">
        <v>739</v>
      </c>
      <c r="J59" s="1"/>
      <c r="K59" s="1"/>
    </row>
    <row r="60" spans="1:11" x14ac:dyDescent="0.25">
      <c r="B60" t="s">
        <v>699</v>
      </c>
      <c r="C60" t="s">
        <v>685</v>
      </c>
      <c r="D60" s="1" t="s">
        <v>732</v>
      </c>
      <c r="E60" t="s">
        <v>685</v>
      </c>
      <c r="F60" t="s">
        <v>700</v>
      </c>
      <c r="G60" t="s">
        <v>685</v>
      </c>
      <c r="H60" s="1" t="s">
        <v>739</v>
      </c>
      <c r="J60" s="1"/>
      <c r="K60" s="1"/>
    </row>
    <row r="61" spans="1:11" x14ac:dyDescent="0.25">
      <c r="B61" t="s">
        <v>701</v>
      </c>
      <c r="C61" t="s">
        <v>685</v>
      </c>
      <c r="D61" s="1" t="s">
        <v>732</v>
      </c>
      <c r="E61" t="s">
        <v>685</v>
      </c>
      <c r="F61" t="s">
        <v>737</v>
      </c>
      <c r="G61" t="s">
        <v>685</v>
      </c>
      <c r="H61" s="1" t="s">
        <v>739</v>
      </c>
      <c r="J61" s="1"/>
      <c r="K61" s="1"/>
    </row>
    <row r="62" spans="1:11" x14ac:dyDescent="0.25">
      <c r="B62" t="s">
        <v>702</v>
      </c>
      <c r="C62" t="s">
        <v>685</v>
      </c>
      <c r="D62" s="1" t="s">
        <v>732</v>
      </c>
      <c r="E62" t="s">
        <v>685</v>
      </c>
      <c r="F62" t="s">
        <v>738</v>
      </c>
      <c r="G62" t="s">
        <v>685</v>
      </c>
      <c r="H62" s="1" t="s">
        <v>739</v>
      </c>
      <c r="J62" s="1"/>
      <c r="K62" s="1"/>
    </row>
    <row r="63" spans="1:11" x14ac:dyDescent="0.25">
      <c r="B63" t="s">
        <v>703</v>
      </c>
      <c r="C63" t="s">
        <v>685</v>
      </c>
      <c r="D63" s="1" t="s">
        <v>732</v>
      </c>
      <c r="E63" t="s">
        <v>685</v>
      </c>
      <c r="F63" t="s">
        <v>704</v>
      </c>
      <c r="G63" t="s">
        <v>685</v>
      </c>
      <c r="H63" s="1" t="s">
        <v>739</v>
      </c>
      <c r="J63" s="1"/>
      <c r="K63" s="1"/>
    </row>
    <row r="64" spans="1:11" x14ac:dyDescent="0.25">
      <c r="B64" t="s">
        <v>705</v>
      </c>
      <c r="C64" t="s">
        <v>685</v>
      </c>
      <c r="D64" s="1" t="s">
        <v>732</v>
      </c>
      <c r="E64" t="s">
        <v>685</v>
      </c>
      <c r="F64" t="s">
        <v>706</v>
      </c>
      <c r="G64" t="s">
        <v>685</v>
      </c>
      <c r="H64" s="1" t="s">
        <v>739</v>
      </c>
      <c r="J64" s="1"/>
      <c r="K64" s="1"/>
    </row>
    <row r="65" spans="2:11" x14ac:dyDescent="0.25">
      <c r="B65" t="s">
        <v>707</v>
      </c>
      <c r="C65" t="s">
        <v>685</v>
      </c>
      <c r="D65" s="1" t="s">
        <v>732</v>
      </c>
      <c r="E65" t="s">
        <v>685</v>
      </c>
      <c r="F65" t="s">
        <v>708</v>
      </c>
      <c r="G65" t="s">
        <v>685</v>
      </c>
      <c r="H65" s="1" t="s">
        <v>739</v>
      </c>
      <c r="J65" s="1"/>
      <c r="K65" s="1"/>
    </row>
    <row r="66" spans="2:11" x14ac:dyDescent="0.25">
      <c r="B66" t="s">
        <v>709</v>
      </c>
      <c r="C66" t="s">
        <v>685</v>
      </c>
      <c r="D66" s="1" t="s">
        <v>732</v>
      </c>
      <c r="E66" t="s">
        <v>685</v>
      </c>
      <c r="F66" t="s">
        <v>710</v>
      </c>
      <c r="G66" t="s">
        <v>685</v>
      </c>
      <c r="H66" s="1" t="s">
        <v>739</v>
      </c>
      <c r="J66" s="1"/>
      <c r="K66" s="1"/>
    </row>
    <row r="67" spans="2:11" x14ac:dyDescent="0.25">
      <c r="B67" t="s">
        <v>711</v>
      </c>
      <c r="C67" t="s">
        <v>685</v>
      </c>
      <c r="D67" s="1" t="s">
        <v>732</v>
      </c>
      <c r="E67" t="s">
        <v>685</v>
      </c>
      <c r="F67" t="s">
        <v>712</v>
      </c>
      <c r="G67" t="s">
        <v>685</v>
      </c>
      <c r="H67" s="1" t="s">
        <v>739</v>
      </c>
      <c r="J67" s="1"/>
      <c r="K67" s="1"/>
    </row>
    <row r="68" spans="2:11" x14ac:dyDescent="0.25">
      <c r="B68" t="s">
        <v>713</v>
      </c>
      <c r="C68" t="s">
        <v>685</v>
      </c>
      <c r="D68" s="1" t="s">
        <v>732</v>
      </c>
      <c r="E68" t="s">
        <v>685</v>
      </c>
      <c r="F68" t="s">
        <v>714</v>
      </c>
      <c r="G68" t="s">
        <v>685</v>
      </c>
      <c r="H68" s="1" t="s">
        <v>739</v>
      </c>
      <c r="J68" s="1"/>
      <c r="K68" s="1"/>
    </row>
    <row r="69" spans="2:11" x14ac:dyDescent="0.25">
      <c r="B69" t="s">
        <v>715</v>
      </c>
      <c r="C69" t="s">
        <v>685</v>
      </c>
      <c r="D69" s="1" t="s">
        <v>732</v>
      </c>
      <c r="E69" t="s">
        <v>685</v>
      </c>
      <c r="F69" t="s">
        <v>716</v>
      </c>
      <c r="G69" t="s">
        <v>685</v>
      </c>
      <c r="H69" s="1" t="s">
        <v>739</v>
      </c>
      <c r="J69" s="1"/>
      <c r="K69" s="1"/>
    </row>
    <row r="70" spans="2:11" x14ac:dyDescent="0.25">
      <c r="B70" t="s">
        <v>717</v>
      </c>
      <c r="C70" t="s">
        <v>685</v>
      </c>
      <c r="D70" s="1" t="s">
        <v>732</v>
      </c>
      <c r="E70" t="s">
        <v>685</v>
      </c>
      <c r="F70" t="s">
        <v>718</v>
      </c>
      <c r="G70" t="s">
        <v>685</v>
      </c>
      <c r="H70" s="1" t="s">
        <v>739</v>
      </c>
      <c r="J70" s="1"/>
      <c r="K70" s="1"/>
    </row>
    <row r="71" spans="2:11" x14ac:dyDescent="0.25">
      <c r="B71" t="s">
        <v>719</v>
      </c>
      <c r="C71" t="s">
        <v>685</v>
      </c>
      <c r="D71" s="1" t="s">
        <v>732</v>
      </c>
      <c r="E71" t="s">
        <v>685</v>
      </c>
      <c r="F71" t="s">
        <v>720</v>
      </c>
      <c r="G71" t="s">
        <v>685</v>
      </c>
      <c r="H71" s="1" t="s">
        <v>739</v>
      </c>
      <c r="J71" s="1"/>
      <c r="K71" s="1"/>
    </row>
    <row r="72" spans="2:11" x14ac:dyDescent="0.25">
      <c r="B72" t="s">
        <v>721</v>
      </c>
      <c r="C72" t="s">
        <v>685</v>
      </c>
      <c r="D72" s="1" t="s">
        <v>732</v>
      </c>
      <c r="E72" t="s">
        <v>685</v>
      </c>
      <c r="F72" t="s">
        <v>722</v>
      </c>
      <c r="G72" t="s">
        <v>685</v>
      </c>
      <c r="H72" s="1" t="s">
        <v>739</v>
      </c>
      <c r="J72" s="1"/>
      <c r="K72" s="1"/>
    </row>
    <row r="73" spans="2:11" x14ac:dyDescent="0.25">
      <c r="B73" t="s">
        <v>723</v>
      </c>
      <c r="C73" t="s">
        <v>685</v>
      </c>
      <c r="D73" s="1" t="s">
        <v>732</v>
      </c>
      <c r="E73" t="s">
        <v>685</v>
      </c>
      <c r="F73" t="s">
        <v>724</v>
      </c>
      <c r="G73" t="s">
        <v>685</v>
      </c>
      <c r="H73" s="1" t="s">
        <v>739</v>
      </c>
      <c r="J73" s="1"/>
      <c r="K73" s="1"/>
    </row>
    <row r="74" spans="2:11" x14ac:dyDescent="0.25">
      <c r="B74" t="s">
        <v>725</v>
      </c>
      <c r="C74" t="s">
        <v>685</v>
      </c>
      <c r="D74" s="1" t="s">
        <v>732</v>
      </c>
      <c r="E74" t="s">
        <v>685</v>
      </c>
      <c r="F74" t="s">
        <v>726</v>
      </c>
      <c r="G74" t="s">
        <v>685</v>
      </c>
      <c r="H74" s="1" t="s">
        <v>739</v>
      </c>
      <c r="J74" s="1"/>
      <c r="K74" s="1"/>
    </row>
    <row r="75" spans="2:11" x14ac:dyDescent="0.25">
      <c r="B75" t="s">
        <v>727</v>
      </c>
      <c r="C75" t="s">
        <v>685</v>
      </c>
      <c r="D75" s="1" t="s">
        <v>732</v>
      </c>
      <c r="E75" t="s">
        <v>685</v>
      </c>
      <c r="F75" t="s">
        <v>728</v>
      </c>
      <c r="G75" t="s">
        <v>685</v>
      </c>
      <c r="H75" s="1" t="s">
        <v>739</v>
      </c>
      <c r="J75" s="1"/>
      <c r="K75" s="1"/>
    </row>
    <row r="76" spans="2:11" x14ac:dyDescent="0.25">
      <c r="B76" t="s">
        <v>729</v>
      </c>
      <c r="C76" t="s">
        <v>685</v>
      </c>
      <c r="D76" s="1" t="s">
        <v>732</v>
      </c>
      <c r="E76" t="s">
        <v>685</v>
      </c>
      <c r="F76" t="s">
        <v>730</v>
      </c>
      <c r="G76" t="s">
        <v>685</v>
      </c>
      <c r="H76" s="1" t="s">
        <v>739</v>
      </c>
      <c r="J76" s="1"/>
      <c r="K76" s="1"/>
    </row>
    <row r="77" spans="2:11" x14ac:dyDescent="0.25">
      <c r="B77" t="s">
        <v>731</v>
      </c>
      <c r="C77" t="s">
        <v>685</v>
      </c>
      <c r="D77" s="1" t="s">
        <v>732</v>
      </c>
      <c r="E77" t="s">
        <v>685</v>
      </c>
      <c r="F77" t="s">
        <v>128</v>
      </c>
      <c r="G77" t="s">
        <v>685</v>
      </c>
      <c r="H77" s="1" t="s">
        <v>739</v>
      </c>
      <c r="J77" s="1"/>
      <c r="K77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474A-EE40-4F65-BC37-7C38ED66BC01}">
  <sheetPr codeName="Sheet8"/>
  <dimension ref="A1:I86"/>
  <sheetViews>
    <sheetView topLeftCell="A49" workbookViewId="0">
      <selection activeCell="A5" sqref="A5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9" t="s">
        <v>3</v>
      </c>
      <c r="B1" s="1" t="s">
        <v>121</v>
      </c>
      <c r="C1" s="1">
        <v>1</v>
      </c>
      <c r="D1" s="1" t="s">
        <v>194</v>
      </c>
      <c r="E1" s="4" t="s">
        <v>431</v>
      </c>
      <c r="F1" s="4"/>
      <c r="G1" s="4" t="s">
        <v>288</v>
      </c>
      <c r="H1" s="4"/>
      <c r="I1" s="9" t="s">
        <v>437</v>
      </c>
    </row>
    <row r="2" spans="1:9" x14ac:dyDescent="0.25">
      <c r="A2" s="9" t="s">
        <v>430</v>
      </c>
      <c r="B2" s="1" t="s">
        <v>121</v>
      </c>
      <c r="C2" s="1">
        <v>2</v>
      </c>
      <c r="D2" s="1" t="s">
        <v>194</v>
      </c>
      <c r="E2" s="4" t="s">
        <v>431</v>
      </c>
      <c r="F2" s="4"/>
      <c r="G2" s="4" t="s">
        <v>288</v>
      </c>
      <c r="H2" s="4"/>
      <c r="I2" s="9" t="s">
        <v>434</v>
      </c>
    </row>
    <row r="3" spans="1:9" x14ac:dyDescent="0.25">
      <c r="A3" s="13" t="s">
        <v>271</v>
      </c>
      <c r="B3" s="1" t="s">
        <v>121</v>
      </c>
      <c r="C3" s="1">
        <v>3</v>
      </c>
      <c r="D3" s="1" t="s">
        <v>194</v>
      </c>
      <c r="E3" s="3" t="s">
        <v>273</v>
      </c>
      <c r="F3" s="3"/>
      <c r="G3" s="3" t="s">
        <v>276</v>
      </c>
      <c r="H3" s="3"/>
      <c r="I3" s="13" t="s">
        <v>274</v>
      </c>
    </row>
    <row r="4" spans="1:9" x14ac:dyDescent="0.25">
      <c r="A4" s="13" t="s">
        <v>3</v>
      </c>
      <c r="B4" s="1" t="s">
        <v>121</v>
      </c>
      <c r="C4" s="1">
        <v>4</v>
      </c>
      <c r="D4" s="1" t="s">
        <v>194</v>
      </c>
      <c r="E4" s="3" t="s">
        <v>73</v>
      </c>
      <c r="F4" s="3"/>
      <c r="G4" s="3" t="s">
        <v>276</v>
      </c>
      <c r="H4" s="3"/>
      <c r="I4" s="13" t="s">
        <v>277</v>
      </c>
    </row>
    <row r="5" spans="1:9" x14ac:dyDescent="0.25">
      <c r="A5" s="13" t="s">
        <v>674</v>
      </c>
      <c r="B5" s="1" t="s">
        <v>121</v>
      </c>
      <c r="C5" s="1">
        <v>5</v>
      </c>
      <c r="D5" s="1" t="s">
        <v>194</v>
      </c>
      <c r="E5" s="3" t="s">
        <v>275</v>
      </c>
      <c r="F5" s="3"/>
      <c r="G5" s="3" t="s">
        <v>276</v>
      </c>
      <c r="H5" s="3"/>
      <c r="I5" s="13" t="s">
        <v>409</v>
      </c>
    </row>
    <row r="6" spans="1:9" x14ac:dyDescent="0.25">
      <c r="A6" s="13" t="s">
        <v>186</v>
      </c>
      <c r="B6" s="1" t="s">
        <v>121</v>
      </c>
      <c r="C6" s="1">
        <v>6</v>
      </c>
      <c r="D6" s="1" t="s">
        <v>194</v>
      </c>
      <c r="E6" s="3" t="s">
        <v>68</v>
      </c>
      <c r="F6" s="3"/>
      <c r="G6" s="3" t="s">
        <v>276</v>
      </c>
      <c r="H6" s="3"/>
      <c r="I6" s="13" t="s">
        <v>270</v>
      </c>
    </row>
    <row r="7" spans="1:9" x14ac:dyDescent="0.25">
      <c r="A7" s="13" t="s">
        <v>187</v>
      </c>
      <c r="B7" s="1" t="s">
        <v>121</v>
      </c>
      <c r="C7" s="1">
        <v>7</v>
      </c>
      <c r="D7" s="1" t="s">
        <v>194</v>
      </c>
      <c r="E7" s="3" t="s">
        <v>69</v>
      </c>
      <c r="F7" s="3"/>
      <c r="G7" s="3" t="s">
        <v>276</v>
      </c>
      <c r="H7" s="3"/>
      <c r="I7" s="13" t="s">
        <v>279</v>
      </c>
    </row>
    <row r="8" spans="1:9" x14ac:dyDescent="0.25">
      <c r="A8" s="13" t="s">
        <v>188</v>
      </c>
      <c r="B8" s="1" t="s">
        <v>121</v>
      </c>
      <c r="C8" s="1">
        <v>8</v>
      </c>
      <c r="D8" s="1" t="s">
        <v>194</v>
      </c>
      <c r="E8" s="3" t="s">
        <v>70</v>
      </c>
      <c r="F8" s="3"/>
      <c r="G8" s="3" t="s">
        <v>276</v>
      </c>
      <c r="H8" s="3"/>
      <c r="I8" s="13" t="s">
        <v>280</v>
      </c>
    </row>
    <row r="9" spans="1:9" x14ac:dyDescent="0.25">
      <c r="A9" s="13" t="s">
        <v>189</v>
      </c>
      <c r="B9" s="1" t="s">
        <v>121</v>
      </c>
      <c r="C9" s="1">
        <v>9</v>
      </c>
      <c r="D9" s="1" t="s">
        <v>194</v>
      </c>
      <c r="E9" s="3" t="s">
        <v>291</v>
      </c>
      <c r="F9" s="3"/>
      <c r="G9" s="3" t="s">
        <v>276</v>
      </c>
      <c r="H9" s="3"/>
      <c r="I9" s="13" t="s">
        <v>281</v>
      </c>
    </row>
    <row r="10" spans="1:9" x14ac:dyDescent="0.25">
      <c r="A10" s="13" t="s">
        <v>272</v>
      </c>
      <c r="B10" s="1" t="s">
        <v>121</v>
      </c>
      <c r="C10" s="1">
        <v>10</v>
      </c>
      <c r="D10" s="1" t="s">
        <v>194</v>
      </c>
      <c r="E10" s="3" t="s">
        <v>283</v>
      </c>
      <c r="F10" s="3"/>
      <c r="G10" s="3" t="s">
        <v>276</v>
      </c>
      <c r="H10" s="3"/>
      <c r="I10" s="13" t="s">
        <v>282</v>
      </c>
    </row>
    <row r="11" spans="1:9" x14ac:dyDescent="0.25">
      <c r="A11" s="13" t="s">
        <v>23</v>
      </c>
      <c r="B11" s="1" t="s">
        <v>121</v>
      </c>
      <c r="C11" s="1">
        <v>11</v>
      </c>
      <c r="D11" s="1" t="s">
        <v>194</v>
      </c>
      <c r="E11" s="3" t="s">
        <v>72</v>
      </c>
      <c r="F11" s="3"/>
      <c r="G11" s="3" t="s">
        <v>276</v>
      </c>
      <c r="H11" s="3"/>
      <c r="I11" s="13" t="s">
        <v>362</v>
      </c>
    </row>
    <row r="12" spans="1:9" x14ac:dyDescent="0.25">
      <c r="A12" s="13" t="s">
        <v>4</v>
      </c>
      <c r="B12" s="1" t="s">
        <v>121</v>
      </c>
      <c r="C12" s="1">
        <v>12</v>
      </c>
      <c r="D12" s="1" t="s">
        <v>194</v>
      </c>
      <c r="E12" s="3" t="s">
        <v>71</v>
      </c>
      <c r="F12" s="3"/>
      <c r="G12" s="3" t="s">
        <v>276</v>
      </c>
      <c r="H12" s="3"/>
      <c r="I12" s="13" t="s">
        <v>363</v>
      </c>
    </row>
    <row r="13" spans="1:9" x14ac:dyDescent="0.25">
      <c r="A13" s="13" t="s">
        <v>183</v>
      </c>
      <c r="B13" s="1" t="s">
        <v>121</v>
      </c>
      <c r="C13" s="1">
        <v>13</v>
      </c>
      <c r="D13" s="1" t="s">
        <v>194</v>
      </c>
      <c r="E13" s="3" t="s">
        <v>80</v>
      </c>
      <c r="F13" s="3"/>
      <c r="G13" s="3" t="s">
        <v>276</v>
      </c>
      <c r="H13" s="3"/>
      <c r="I13" s="13" t="s">
        <v>350</v>
      </c>
    </row>
    <row r="14" spans="1:9" x14ac:dyDescent="0.25">
      <c r="A14" s="13" t="s">
        <v>184</v>
      </c>
      <c r="B14" s="1" t="s">
        <v>121</v>
      </c>
      <c r="C14" s="1">
        <v>14</v>
      </c>
      <c r="D14" s="1" t="s">
        <v>194</v>
      </c>
      <c r="E14" s="3" t="s">
        <v>81</v>
      </c>
      <c r="F14" s="3"/>
      <c r="G14" s="3" t="s">
        <v>276</v>
      </c>
      <c r="H14" s="3"/>
      <c r="I14" s="13" t="s">
        <v>351</v>
      </c>
    </row>
    <row r="15" spans="1:9" x14ac:dyDescent="0.25">
      <c r="A15" s="13" t="s">
        <v>185</v>
      </c>
      <c r="B15" s="1" t="s">
        <v>121</v>
      </c>
      <c r="C15" s="1">
        <v>15</v>
      </c>
      <c r="D15" s="1" t="s">
        <v>194</v>
      </c>
      <c r="E15" s="3" t="s">
        <v>82</v>
      </c>
      <c r="F15" s="3"/>
      <c r="G15" s="3" t="s">
        <v>276</v>
      </c>
      <c r="H15" s="3"/>
      <c r="I15" s="13" t="s">
        <v>352</v>
      </c>
    </row>
    <row r="16" spans="1:9" x14ac:dyDescent="0.25">
      <c r="A16" s="13" t="s">
        <v>190</v>
      </c>
      <c r="B16" s="1" t="s">
        <v>121</v>
      </c>
      <c r="C16" s="1">
        <v>16</v>
      </c>
      <c r="D16" s="1" t="s">
        <v>194</v>
      </c>
      <c r="E16" s="3" t="s">
        <v>284</v>
      </c>
      <c r="F16" s="3"/>
      <c r="G16" s="3" t="s">
        <v>276</v>
      </c>
      <c r="H16" s="3"/>
      <c r="I16" s="13" t="s">
        <v>353</v>
      </c>
    </row>
    <row r="17" spans="1:9" x14ac:dyDescent="0.25">
      <c r="A17" s="13" t="s">
        <v>191</v>
      </c>
      <c r="B17" s="1" t="s">
        <v>121</v>
      </c>
      <c r="C17" s="1">
        <v>17</v>
      </c>
      <c r="D17" s="1" t="s">
        <v>194</v>
      </c>
      <c r="E17" s="3" t="s">
        <v>285</v>
      </c>
      <c r="F17" s="3"/>
      <c r="G17" s="3" t="s">
        <v>276</v>
      </c>
      <c r="H17" s="3"/>
      <c r="I17" s="13" t="s">
        <v>354</v>
      </c>
    </row>
    <row r="18" spans="1:9" x14ac:dyDescent="0.25">
      <c r="A18" s="13" t="s">
        <v>192</v>
      </c>
      <c r="B18" s="1" t="s">
        <v>121</v>
      </c>
      <c r="C18" s="1">
        <v>18</v>
      </c>
      <c r="D18" s="1" t="s">
        <v>194</v>
      </c>
      <c r="E18" s="3" t="s">
        <v>286</v>
      </c>
      <c r="F18" s="3"/>
      <c r="G18" s="3" t="s">
        <v>276</v>
      </c>
      <c r="H18" s="3"/>
      <c r="I18" s="13" t="s">
        <v>355</v>
      </c>
    </row>
    <row r="19" spans="1:9" x14ac:dyDescent="0.25">
      <c r="A19" s="13" t="s">
        <v>28</v>
      </c>
      <c r="B19" s="1" t="s">
        <v>121</v>
      </c>
      <c r="C19" s="1">
        <v>19</v>
      </c>
      <c r="D19" s="1" t="s">
        <v>194</v>
      </c>
      <c r="E19" s="3" t="s">
        <v>74</v>
      </c>
      <c r="F19" s="3"/>
      <c r="G19" s="3" t="s">
        <v>276</v>
      </c>
      <c r="H19" s="3"/>
      <c r="I19" s="13" t="s">
        <v>356</v>
      </c>
    </row>
    <row r="20" spans="1:9" x14ac:dyDescent="0.25">
      <c r="A20" s="13" t="s">
        <v>29</v>
      </c>
      <c r="B20" s="1" t="s">
        <v>121</v>
      </c>
      <c r="C20" s="1">
        <v>20</v>
      </c>
      <c r="D20" s="1" t="s">
        <v>194</v>
      </c>
      <c r="E20" s="3" t="s">
        <v>75</v>
      </c>
      <c r="F20" s="3"/>
      <c r="G20" s="3" t="s">
        <v>276</v>
      </c>
      <c r="H20" s="3"/>
      <c r="I20" s="13" t="s">
        <v>357</v>
      </c>
    </row>
    <row r="21" spans="1:9" x14ac:dyDescent="0.25">
      <c r="A21" s="13" t="s">
        <v>30</v>
      </c>
      <c r="B21" s="1" t="s">
        <v>121</v>
      </c>
      <c r="C21" s="1">
        <v>21</v>
      </c>
      <c r="D21" s="1" t="s">
        <v>194</v>
      </c>
      <c r="E21" s="3" t="s">
        <v>76</v>
      </c>
      <c r="F21" s="3"/>
      <c r="G21" s="3" t="s">
        <v>276</v>
      </c>
      <c r="H21" s="3"/>
      <c r="I21" s="13" t="s">
        <v>358</v>
      </c>
    </row>
    <row r="22" spans="1:9" x14ac:dyDescent="0.25">
      <c r="A22" s="13" t="s">
        <v>31</v>
      </c>
      <c r="B22" s="1" t="s">
        <v>121</v>
      </c>
      <c r="C22" s="1">
        <v>22</v>
      </c>
      <c r="D22" s="1" t="s">
        <v>194</v>
      </c>
      <c r="E22" s="3" t="s">
        <v>77</v>
      </c>
      <c r="F22" s="3"/>
      <c r="G22" s="3" t="s">
        <v>276</v>
      </c>
      <c r="H22" s="3"/>
      <c r="I22" s="13" t="s">
        <v>359</v>
      </c>
    </row>
    <row r="23" spans="1:9" x14ac:dyDescent="0.25">
      <c r="A23" s="13" t="s">
        <v>32</v>
      </c>
      <c r="B23" s="1" t="s">
        <v>121</v>
      </c>
      <c r="C23" s="1">
        <v>23</v>
      </c>
      <c r="D23" s="1" t="s">
        <v>194</v>
      </c>
      <c r="E23" s="3" t="s">
        <v>78</v>
      </c>
      <c r="F23" s="3"/>
      <c r="G23" s="3" t="s">
        <v>276</v>
      </c>
      <c r="H23" s="3"/>
      <c r="I23" s="13" t="s">
        <v>360</v>
      </c>
    </row>
    <row r="24" spans="1:9" x14ac:dyDescent="0.25">
      <c r="A24" s="13" t="s">
        <v>33</v>
      </c>
      <c r="B24" s="1" t="s">
        <v>121</v>
      </c>
      <c r="C24" s="1">
        <v>24</v>
      </c>
      <c r="D24" s="1" t="s">
        <v>194</v>
      </c>
      <c r="E24" s="3" t="s">
        <v>79</v>
      </c>
      <c r="F24" s="3"/>
      <c r="G24" s="3" t="s">
        <v>276</v>
      </c>
      <c r="H24" s="3"/>
      <c r="I24" s="13" t="s">
        <v>361</v>
      </c>
    </row>
    <row r="25" spans="1:9" x14ac:dyDescent="0.25">
      <c r="A25" s="13" t="s">
        <v>675</v>
      </c>
      <c r="B25" s="1" t="s">
        <v>121</v>
      </c>
      <c r="C25" s="1">
        <v>25</v>
      </c>
      <c r="D25" s="1" t="s">
        <v>194</v>
      </c>
      <c r="E25" s="3" t="s">
        <v>287</v>
      </c>
      <c r="F25" s="3"/>
      <c r="G25" s="3" t="s">
        <v>276</v>
      </c>
      <c r="H25" s="3"/>
      <c r="I25" s="13" t="s">
        <v>409</v>
      </c>
    </row>
    <row r="26" spans="1:9" x14ac:dyDescent="0.25">
      <c r="A26" s="13" t="s">
        <v>129</v>
      </c>
      <c r="B26" s="1" t="s">
        <v>121</v>
      </c>
      <c r="C26" s="1">
        <v>26</v>
      </c>
      <c r="D26" s="1" t="s">
        <v>194</v>
      </c>
      <c r="E26" s="3" t="s">
        <v>128</v>
      </c>
      <c r="F26" s="3"/>
      <c r="G26" s="3" t="s">
        <v>276</v>
      </c>
      <c r="H26" s="3"/>
      <c r="I26" s="13" t="s">
        <v>365</v>
      </c>
    </row>
    <row r="27" spans="1:9" x14ac:dyDescent="0.25">
      <c r="A27" s="13" t="s">
        <v>132</v>
      </c>
      <c r="B27" s="1" t="s">
        <v>121</v>
      </c>
      <c r="C27" s="1">
        <v>27</v>
      </c>
      <c r="D27" s="1" t="s">
        <v>194</v>
      </c>
      <c r="E27" s="3" t="s">
        <v>128</v>
      </c>
      <c r="F27" s="3"/>
      <c r="G27" s="3" t="s">
        <v>276</v>
      </c>
      <c r="H27" s="3"/>
      <c r="I27" s="13" t="s">
        <v>364</v>
      </c>
    </row>
    <row r="28" spans="1:9" x14ac:dyDescent="0.25">
      <c r="A28" s="9" t="s">
        <v>366</v>
      </c>
      <c r="B28" s="1" t="s">
        <v>121</v>
      </c>
      <c r="C28" s="1">
        <v>28</v>
      </c>
      <c r="D28" s="1" t="s">
        <v>194</v>
      </c>
      <c r="E28" s="4" t="s">
        <v>273</v>
      </c>
      <c r="F28" s="4"/>
      <c r="G28" s="4" t="s">
        <v>389</v>
      </c>
      <c r="H28" s="4"/>
      <c r="I28" s="9" t="s">
        <v>274</v>
      </c>
    </row>
    <row r="29" spans="1:9" x14ac:dyDescent="0.25">
      <c r="A29" s="9" t="s">
        <v>367</v>
      </c>
      <c r="B29" s="1" t="s">
        <v>121</v>
      </c>
      <c r="C29" s="1">
        <v>29</v>
      </c>
      <c r="D29" s="1" t="s">
        <v>194</v>
      </c>
      <c r="E29" s="4" t="s">
        <v>73</v>
      </c>
      <c r="F29" s="4"/>
      <c r="G29" s="4" t="s">
        <v>276</v>
      </c>
      <c r="H29" s="4"/>
      <c r="I29" s="9" t="s">
        <v>277</v>
      </c>
    </row>
    <row r="30" spans="1:9" x14ac:dyDescent="0.25">
      <c r="A30" s="9" t="s">
        <v>676</v>
      </c>
      <c r="B30" s="1" t="s">
        <v>121</v>
      </c>
      <c r="C30" s="1">
        <v>30</v>
      </c>
      <c r="D30" s="1" t="s">
        <v>194</v>
      </c>
      <c r="E30" s="4" t="s">
        <v>275</v>
      </c>
      <c r="F30" s="4"/>
      <c r="G30" s="4" t="s">
        <v>276</v>
      </c>
      <c r="H30" s="4"/>
      <c r="I30" s="9" t="s">
        <v>278</v>
      </c>
    </row>
    <row r="31" spans="1:9" x14ac:dyDescent="0.25">
      <c r="A31" s="9" t="s">
        <v>368</v>
      </c>
      <c r="B31" s="1" t="s">
        <v>121</v>
      </c>
      <c r="C31" s="1">
        <v>31</v>
      </c>
      <c r="D31" s="1" t="s">
        <v>194</v>
      </c>
      <c r="E31" s="4" t="s">
        <v>68</v>
      </c>
      <c r="F31" s="4"/>
      <c r="G31" s="4" t="s">
        <v>389</v>
      </c>
      <c r="H31" s="4"/>
      <c r="I31" s="9" t="s">
        <v>270</v>
      </c>
    </row>
    <row r="32" spans="1:9" x14ac:dyDescent="0.25">
      <c r="A32" s="9" t="s">
        <v>369</v>
      </c>
      <c r="B32" s="1" t="s">
        <v>121</v>
      </c>
      <c r="C32" s="1">
        <v>32</v>
      </c>
      <c r="D32" s="1" t="s">
        <v>194</v>
      </c>
      <c r="E32" s="4" t="s">
        <v>69</v>
      </c>
      <c r="F32" s="4"/>
      <c r="G32" s="4" t="s">
        <v>389</v>
      </c>
      <c r="H32" s="4"/>
      <c r="I32" s="9" t="s">
        <v>279</v>
      </c>
    </row>
    <row r="33" spans="1:9" x14ac:dyDescent="0.25">
      <c r="A33" s="9" t="s">
        <v>370</v>
      </c>
      <c r="B33" s="1" t="s">
        <v>121</v>
      </c>
      <c r="C33" s="1">
        <v>33</v>
      </c>
      <c r="D33" s="1" t="s">
        <v>194</v>
      </c>
      <c r="E33" s="4" t="s">
        <v>70</v>
      </c>
      <c r="F33" s="4"/>
      <c r="G33" s="4" t="s">
        <v>389</v>
      </c>
      <c r="H33" s="4"/>
      <c r="I33" s="9" t="s">
        <v>280</v>
      </c>
    </row>
    <row r="34" spans="1:9" x14ac:dyDescent="0.25">
      <c r="A34" s="9" t="s">
        <v>371</v>
      </c>
      <c r="B34" s="1" t="s">
        <v>121</v>
      </c>
      <c r="C34" s="1">
        <v>34</v>
      </c>
      <c r="D34" s="1" t="s">
        <v>194</v>
      </c>
      <c r="E34" s="4" t="s">
        <v>291</v>
      </c>
      <c r="F34" s="4"/>
      <c r="G34" s="4" t="s">
        <v>389</v>
      </c>
      <c r="H34" s="4"/>
      <c r="I34" s="9" t="s">
        <v>281</v>
      </c>
    </row>
    <row r="35" spans="1:9" x14ac:dyDescent="0.25">
      <c r="A35" s="9" t="s">
        <v>372</v>
      </c>
      <c r="B35" s="1" t="s">
        <v>121</v>
      </c>
      <c r="C35" s="1">
        <v>35</v>
      </c>
      <c r="D35" s="1" t="s">
        <v>194</v>
      </c>
      <c r="E35" s="4" t="s">
        <v>283</v>
      </c>
      <c r="F35" s="4"/>
      <c r="G35" s="4" t="s">
        <v>389</v>
      </c>
      <c r="H35" s="4"/>
      <c r="I35" s="9" t="s">
        <v>282</v>
      </c>
    </row>
    <row r="36" spans="1:9" x14ac:dyDescent="0.25">
      <c r="A36" s="9" t="s">
        <v>373</v>
      </c>
      <c r="B36" s="1" t="s">
        <v>121</v>
      </c>
      <c r="C36" s="1">
        <v>36</v>
      </c>
      <c r="D36" s="1" t="s">
        <v>194</v>
      </c>
      <c r="E36" s="4" t="s">
        <v>72</v>
      </c>
      <c r="F36" s="4"/>
      <c r="G36" s="4" t="s">
        <v>389</v>
      </c>
      <c r="H36" s="4"/>
      <c r="I36" s="9" t="s">
        <v>362</v>
      </c>
    </row>
    <row r="37" spans="1:9" x14ac:dyDescent="0.25">
      <c r="A37" s="9" t="s">
        <v>374</v>
      </c>
      <c r="B37" s="1" t="s">
        <v>121</v>
      </c>
      <c r="C37" s="1">
        <v>37</v>
      </c>
      <c r="D37" s="1" t="s">
        <v>194</v>
      </c>
      <c r="E37" s="4" t="s">
        <v>71</v>
      </c>
      <c r="F37" s="4"/>
      <c r="G37" s="4" t="s">
        <v>389</v>
      </c>
      <c r="H37" s="4"/>
      <c r="I37" s="9" t="s">
        <v>363</v>
      </c>
    </row>
    <row r="38" spans="1:9" x14ac:dyDescent="0.25">
      <c r="A38" s="9" t="s">
        <v>375</v>
      </c>
      <c r="B38" s="1" t="s">
        <v>121</v>
      </c>
      <c r="C38" s="1">
        <v>38</v>
      </c>
      <c r="D38" s="1" t="s">
        <v>194</v>
      </c>
      <c r="E38" s="4" t="s">
        <v>80</v>
      </c>
      <c r="F38" s="4"/>
      <c r="G38" s="4" t="s">
        <v>389</v>
      </c>
      <c r="H38" s="4"/>
      <c r="I38" s="9" t="s">
        <v>350</v>
      </c>
    </row>
    <row r="39" spans="1:9" x14ac:dyDescent="0.25">
      <c r="A39" s="9" t="s">
        <v>376</v>
      </c>
      <c r="B39" s="1" t="s">
        <v>121</v>
      </c>
      <c r="C39" s="1">
        <v>39</v>
      </c>
      <c r="D39" s="1" t="s">
        <v>194</v>
      </c>
      <c r="E39" s="4" t="s">
        <v>81</v>
      </c>
      <c r="F39" s="4"/>
      <c r="G39" s="4" t="s">
        <v>389</v>
      </c>
      <c r="H39" s="4"/>
      <c r="I39" s="9" t="s">
        <v>351</v>
      </c>
    </row>
    <row r="40" spans="1:9" x14ac:dyDescent="0.25">
      <c r="A40" s="9" t="s">
        <v>377</v>
      </c>
      <c r="B40" s="1" t="s">
        <v>121</v>
      </c>
      <c r="C40" s="1">
        <v>40</v>
      </c>
      <c r="D40" s="1" t="s">
        <v>194</v>
      </c>
      <c r="E40" s="4" t="s">
        <v>82</v>
      </c>
      <c r="F40" s="4"/>
      <c r="G40" s="4" t="s">
        <v>389</v>
      </c>
      <c r="H40" s="4"/>
      <c r="I40" s="9" t="s">
        <v>352</v>
      </c>
    </row>
    <row r="41" spans="1:9" x14ac:dyDescent="0.25">
      <c r="A41" s="9" t="s">
        <v>378</v>
      </c>
      <c r="B41" s="1" t="s">
        <v>121</v>
      </c>
      <c r="C41" s="1">
        <v>41</v>
      </c>
      <c r="D41" s="1" t="s">
        <v>194</v>
      </c>
      <c r="E41" s="4" t="s">
        <v>284</v>
      </c>
      <c r="F41" s="4"/>
      <c r="G41" s="4" t="s">
        <v>389</v>
      </c>
      <c r="H41" s="4"/>
      <c r="I41" s="9" t="s">
        <v>353</v>
      </c>
    </row>
    <row r="42" spans="1:9" x14ac:dyDescent="0.25">
      <c r="A42" s="9" t="s">
        <v>379</v>
      </c>
      <c r="B42" s="1" t="s">
        <v>121</v>
      </c>
      <c r="C42" s="1">
        <v>42</v>
      </c>
      <c r="D42" s="1" t="s">
        <v>194</v>
      </c>
      <c r="E42" s="4" t="s">
        <v>285</v>
      </c>
      <c r="F42" s="4"/>
      <c r="G42" s="4" t="s">
        <v>389</v>
      </c>
      <c r="H42" s="4"/>
      <c r="I42" s="9" t="s">
        <v>354</v>
      </c>
    </row>
    <row r="43" spans="1:9" x14ac:dyDescent="0.25">
      <c r="A43" s="9" t="s">
        <v>380</v>
      </c>
      <c r="B43" s="1" t="s">
        <v>121</v>
      </c>
      <c r="C43" s="1">
        <v>43</v>
      </c>
      <c r="D43" s="1" t="s">
        <v>194</v>
      </c>
      <c r="E43" s="4" t="s">
        <v>286</v>
      </c>
      <c r="F43" s="4"/>
      <c r="G43" s="4" t="s">
        <v>389</v>
      </c>
      <c r="H43" s="4"/>
      <c r="I43" s="9" t="s">
        <v>355</v>
      </c>
    </row>
    <row r="44" spans="1:9" x14ac:dyDescent="0.25">
      <c r="A44" s="9" t="s">
        <v>381</v>
      </c>
      <c r="B44" s="1" t="s">
        <v>121</v>
      </c>
      <c r="C44" s="1">
        <v>44</v>
      </c>
      <c r="D44" s="1" t="s">
        <v>194</v>
      </c>
      <c r="E44" s="4" t="s">
        <v>74</v>
      </c>
      <c r="F44" s="4"/>
      <c r="G44" s="4" t="s">
        <v>389</v>
      </c>
      <c r="H44" s="4"/>
      <c r="I44" s="9" t="s">
        <v>356</v>
      </c>
    </row>
    <row r="45" spans="1:9" x14ac:dyDescent="0.25">
      <c r="A45" s="9" t="s">
        <v>382</v>
      </c>
      <c r="B45" s="1" t="s">
        <v>121</v>
      </c>
      <c r="C45" s="1">
        <v>45</v>
      </c>
      <c r="D45" s="1" t="s">
        <v>194</v>
      </c>
      <c r="E45" s="4" t="s">
        <v>75</v>
      </c>
      <c r="F45" s="4"/>
      <c r="G45" s="4" t="s">
        <v>389</v>
      </c>
      <c r="H45" s="4"/>
      <c r="I45" s="9" t="s">
        <v>357</v>
      </c>
    </row>
    <row r="46" spans="1:9" x14ac:dyDescent="0.25">
      <c r="A46" s="9" t="s">
        <v>383</v>
      </c>
      <c r="B46" s="1" t="s">
        <v>121</v>
      </c>
      <c r="C46" s="1">
        <v>46</v>
      </c>
      <c r="D46" s="1" t="s">
        <v>194</v>
      </c>
      <c r="E46" s="4" t="s">
        <v>76</v>
      </c>
      <c r="F46" s="4"/>
      <c r="G46" s="4" t="s">
        <v>389</v>
      </c>
      <c r="H46" s="4"/>
      <c r="I46" s="9" t="s">
        <v>358</v>
      </c>
    </row>
    <row r="47" spans="1:9" x14ac:dyDescent="0.25">
      <c r="A47" s="9" t="s">
        <v>384</v>
      </c>
      <c r="B47" s="1" t="s">
        <v>121</v>
      </c>
      <c r="C47" s="1">
        <v>47</v>
      </c>
      <c r="D47" s="1" t="s">
        <v>194</v>
      </c>
      <c r="E47" s="4" t="s">
        <v>77</v>
      </c>
      <c r="F47" s="4"/>
      <c r="G47" s="4" t="s">
        <v>389</v>
      </c>
      <c r="H47" s="4"/>
      <c r="I47" s="9" t="s">
        <v>359</v>
      </c>
    </row>
    <row r="48" spans="1:9" x14ac:dyDescent="0.25">
      <c r="A48" s="9" t="s">
        <v>385</v>
      </c>
      <c r="B48" s="1" t="s">
        <v>121</v>
      </c>
      <c r="C48" s="1">
        <v>48</v>
      </c>
      <c r="D48" s="1" t="s">
        <v>194</v>
      </c>
      <c r="E48" s="4" t="s">
        <v>78</v>
      </c>
      <c r="F48" s="4"/>
      <c r="G48" s="4" t="s">
        <v>389</v>
      </c>
      <c r="H48" s="4"/>
      <c r="I48" s="9" t="s">
        <v>360</v>
      </c>
    </row>
    <row r="49" spans="1:9" x14ac:dyDescent="0.25">
      <c r="A49" s="9" t="s">
        <v>386</v>
      </c>
      <c r="B49" s="1" t="s">
        <v>121</v>
      </c>
      <c r="C49" s="1">
        <v>49</v>
      </c>
      <c r="D49" s="1" t="s">
        <v>194</v>
      </c>
      <c r="E49" s="4" t="s">
        <v>79</v>
      </c>
      <c r="F49" s="4"/>
      <c r="G49" s="4" t="s">
        <v>389</v>
      </c>
      <c r="H49" s="4"/>
      <c r="I49" s="9" t="s">
        <v>361</v>
      </c>
    </row>
    <row r="50" spans="1:9" x14ac:dyDescent="0.25">
      <c r="A50" s="9" t="s">
        <v>677</v>
      </c>
      <c r="B50" s="1" t="s">
        <v>121</v>
      </c>
      <c r="C50" s="1">
        <v>50</v>
      </c>
      <c r="D50" s="1" t="s">
        <v>194</v>
      </c>
      <c r="E50" s="4" t="s">
        <v>287</v>
      </c>
      <c r="F50" s="4"/>
      <c r="G50" s="4" t="s">
        <v>276</v>
      </c>
      <c r="H50" s="4"/>
      <c r="I50" s="9" t="s">
        <v>409</v>
      </c>
    </row>
    <row r="51" spans="1:9" x14ac:dyDescent="0.25">
      <c r="A51" s="9" t="s">
        <v>387</v>
      </c>
      <c r="B51" s="1" t="s">
        <v>121</v>
      </c>
      <c r="C51" s="1">
        <v>51</v>
      </c>
      <c r="D51" s="1" t="s">
        <v>194</v>
      </c>
      <c r="E51" s="4" t="s">
        <v>128</v>
      </c>
      <c r="F51" s="4"/>
      <c r="G51" s="4" t="s">
        <v>276</v>
      </c>
      <c r="H51" s="4"/>
      <c r="I51" s="9" t="s">
        <v>365</v>
      </c>
    </row>
    <row r="52" spans="1:9" x14ac:dyDescent="0.25">
      <c r="A52" s="9" t="s">
        <v>388</v>
      </c>
      <c r="B52" s="1" t="s">
        <v>121</v>
      </c>
      <c r="C52" s="1">
        <v>52</v>
      </c>
      <c r="D52" s="1" t="s">
        <v>194</v>
      </c>
      <c r="E52" s="4" t="s">
        <v>128</v>
      </c>
      <c r="F52" s="4"/>
      <c r="G52" s="4" t="s">
        <v>389</v>
      </c>
      <c r="H52" s="4"/>
      <c r="I52" s="9" t="s">
        <v>364</v>
      </c>
    </row>
    <row r="53" spans="1:9" x14ac:dyDescent="0.25">
      <c r="A53" s="15" t="s">
        <v>390</v>
      </c>
      <c r="B53" s="1" t="s">
        <v>121</v>
      </c>
      <c r="C53" s="1">
        <v>53</v>
      </c>
      <c r="D53" s="1" t="s">
        <v>194</v>
      </c>
      <c r="E53" s="14" t="s">
        <v>247</v>
      </c>
      <c r="F53" s="14"/>
      <c r="G53" s="14" t="s">
        <v>288</v>
      </c>
      <c r="H53" s="19" t="s">
        <v>293</v>
      </c>
      <c r="I53" s="15" t="s">
        <v>292</v>
      </c>
    </row>
    <row r="54" spans="1:9" x14ac:dyDescent="0.25">
      <c r="A54" s="15" t="s">
        <v>391</v>
      </c>
      <c r="B54" s="1" t="s">
        <v>121</v>
      </c>
      <c r="C54" s="1">
        <v>54</v>
      </c>
      <c r="D54" s="1" t="s">
        <v>194</v>
      </c>
      <c r="E54" s="14" t="s">
        <v>247</v>
      </c>
      <c r="F54" s="14"/>
      <c r="G54" s="14" t="s">
        <v>288</v>
      </c>
      <c r="H54" s="19" t="s">
        <v>293</v>
      </c>
      <c r="I54" s="15" t="s">
        <v>292</v>
      </c>
    </row>
    <row r="55" spans="1:9" x14ac:dyDescent="0.25">
      <c r="A55" s="15" t="s">
        <v>392</v>
      </c>
      <c r="B55" s="1" t="s">
        <v>121</v>
      </c>
      <c r="C55" s="1">
        <v>55</v>
      </c>
      <c r="D55" s="1" t="s">
        <v>194</v>
      </c>
      <c r="E55" s="14" t="s">
        <v>247</v>
      </c>
      <c r="F55" s="14"/>
      <c r="G55" s="14" t="s">
        <v>288</v>
      </c>
      <c r="H55" s="19" t="s">
        <v>293</v>
      </c>
      <c r="I55" s="15" t="s">
        <v>292</v>
      </c>
    </row>
    <row r="56" spans="1:9" x14ac:dyDescent="0.25">
      <c r="A56" s="15" t="s">
        <v>393</v>
      </c>
      <c r="B56" s="1" t="s">
        <v>121</v>
      </c>
      <c r="C56" s="1">
        <v>56</v>
      </c>
      <c r="D56" s="1" t="s">
        <v>194</v>
      </c>
      <c r="E56" s="14" t="s">
        <v>247</v>
      </c>
      <c r="F56" s="14"/>
      <c r="G56" s="14" t="s">
        <v>288</v>
      </c>
      <c r="H56" s="19" t="s">
        <v>293</v>
      </c>
      <c r="I56" s="15" t="s">
        <v>292</v>
      </c>
    </row>
    <row r="57" spans="1:9" x14ac:dyDescent="0.25">
      <c r="A57" s="15" t="s">
        <v>426</v>
      </c>
      <c r="B57" s="1" t="s">
        <v>121</v>
      </c>
      <c r="C57" s="1">
        <v>57</v>
      </c>
      <c r="D57" s="1" t="s">
        <v>194</v>
      </c>
      <c r="E57" s="14" t="s">
        <v>247</v>
      </c>
      <c r="F57" s="14"/>
      <c r="G57" s="14" t="s">
        <v>288</v>
      </c>
      <c r="H57" s="19" t="s">
        <v>293</v>
      </c>
      <c r="I57" s="15" t="s">
        <v>292</v>
      </c>
    </row>
    <row r="58" spans="1:9" x14ac:dyDescent="0.25">
      <c r="A58" s="15" t="s">
        <v>427</v>
      </c>
      <c r="B58" s="1" t="s">
        <v>121</v>
      </c>
      <c r="C58" s="1">
        <v>58</v>
      </c>
      <c r="D58" s="1" t="s">
        <v>194</v>
      </c>
      <c r="E58" s="14" t="s">
        <v>247</v>
      </c>
      <c r="F58" s="14"/>
      <c r="G58" s="14" t="s">
        <v>288</v>
      </c>
      <c r="H58" s="19" t="s">
        <v>293</v>
      </c>
      <c r="I58" s="15" t="s">
        <v>292</v>
      </c>
    </row>
    <row r="59" spans="1:9" x14ac:dyDescent="0.25">
      <c r="A59" s="15" t="s">
        <v>428</v>
      </c>
      <c r="B59" s="1" t="s">
        <v>121</v>
      </c>
      <c r="C59" s="1">
        <v>59</v>
      </c>
      <c r="D59" s="1" t="s">
        <v>194</v>
      </c>
      <c r="E59" s="14" t="s">
        <v>247</v>
      </c>
      <c r="F59" s="14"/>
      <c r="G59" s="14" t="s">
        <v>288</v>
      </c>
      <c r="H59" s="19" t="s">
        <v>293</v>
      </c>
      <c r="I59" s="15" t="s">
        <v>292</v>
      </c>
    </row>
    <row r="60" spans="1:9" x14ac:dyDescent="0.25">
      <c r="A60" s="15" t="s">
        <v>429</v>
      </c>
      <c r="B60" s="1" t="s">
        <v>121</v>
      </c>
      <c r="C60" s="1">
        <v>60</v>
      </c>
      <c r="D60" s="1" t="s">
        <v>194</v>
      </c>
      <c r="E60" s="14" t="s">
        <v>247</v>
      </c>
      <c r="F60" s="14"/>
      <c r="G60" s="14" t="s">
        <v>288</v>
      </c>
      <c r="H60" s="19" t="s">
        <v>293</v>
      </c>
      <c r="I60" s="15" t="s">
        <v>292</v>
      </c>
    </row>
    <row r="61" spans="1:9" x14ac:dyDescent="0.25">
      <c r="A61" s="15" t="s">
        <v>394</v>
      </c>
      <c r="B61" s="1" t="s">
        <v>121</v>
      </c>
      <c r="C61" s="1">
        <v>61</v>
      </c>
      <c r="D61" s="1" t="s">
        <v>194</v>
      </c>
      <c r="E61" s="14" t="s">
        <v>247</v>
      </c>
      <c r="F61" s="14"/>
      <c r="G61" s="14" t="s">
        <v>288</v>
      </c>
      <c r="H61" s="19" t="s">
        <v>293</v>
      </c>
      <c r="I61" s="15" t="s">
        <v>292</v>
      </c>
    </row>
    <row r="62" spans="1:9" x14ac:dyDescent="0.25">
      <c r="A62" s="15" t="s">
        <v>395</v>
      </c>
      <c r="B62" s="1" t="s">
        <v>121</v>
      </c>
      <c r="C62" s="1">
        <v>62</v>
      </c>
      <c r="D62" s="1" t="s">
        <v>194</v>
      </c>
      <c r="E62" s="14" t="s">
        <v>247</v>
      </c>
      <c r="F62" s="14"/>
      <c r="G62" s="14" t="s">
        <v>288</v>
      </c>
      <c r="H62" s="19" t="s">
        <v>293</v>
      </c>
      <c r="I62" s="15" t="s">
        <v>292</v>
      </c>
    </row>
    <row r="63" spans="1:9" x14ac:dyDescent="0.25">
      <c r="A63" s="15" t="s">
        <v>396</v>
      </c>
      <c r="B63" s="1" t="s">
        <v>121</v>
      </c>
      <c r="C63" s="1">
        <v>63</v>
      </c>
      <c r="D63" s="1" t="s">
        <v>194</v>
      </c>
      <c r="E63" s="14" t="s">
        <v>247</v>
      </c>
      <c r="F63" s="14"/>
      <c r="G63" s="14" t="s">
        <v>288</v>
      </c>
      <c r="H63" s="19" t="s">
        <v>293</v>
      </c>
      <c r="I63" s="15" t="s">
        <v>292</v>
      </c>
    </row>
    <row r="64" spans="1:9" x14ac:dyDescent="0.25">
      <c r="A64" s="15" t="s">
        <v>397</v>
      </c>
      <c r="B64" s="1" t="s">
        <v>121</v>
      </c>
      <c r="C64" s="1">
        <v>64</v>
      </c>
      <c r="D64" s="1" t="s">
        <v>194</v>
      </c>
      <c r="E64" s="14" t="s">
        <v>247</v>
      </c>
      <c r="F64" s="14"/>
      <c r="G64" s="14" t="s">
        <v>288</v>
      </c>
      <c r="H64" s="19" t="s">
        <v>293</v>
      </c>
      <c r="I64" s="15" t="s">
        <v>292</v>
      </c>
    </row>
    <row r="65" spans="1:9" x14ac:dyDescent="0.25">
      <c r="A65" s="15" t="s">
        <v>398</v>
      </c>
      <c r="B65" s="1" t="s">
        <v>121</v>
      </c>
      <c r="C65" s="1">
        <v>65</v>
      </c>
      <c r="D65" s="1" t="s">
        <v>194</v>
      </c>
      <c r="E65" s="14" t="s">
        <v>247</v>
      </c>
      <c r="F65" s="14"/>
      <c r="G65" s="14" t="s">
        <v>288</v>
      </c>
      <c r="H65" s="19" t="s">
        <v>293</v>
      </c>
      <c r="I65" s="15" t="s">
        <v>292</v>
      </c>
    </row>
    <row r="66" spans="1:9" x14ac:dyDescent="0.25">
      <c r="A66" s="15" t="s">
        <v>399</v>
      </c>
      <c r="B66" s="1" t="s">
        <v>121</v>
      </c>
      <c r="C66" s="1">
        <v>66</v>
      </c>
      <c r="D66" s="1" t="s">
        <v>194</v>
      </c>
      <c r="E66" s="14" t="s">
        <v>247</v>
      </c>
      <c r="F66" s="14"/>
      <c r="G66" s="14" t="s">
        <v>288</v>
      </c>
      <c r="H66" s="19" t="s">
        <v>293</v>
      </c>
      <c r="I66" s="15" t="s">
        <v>292</v>
      </c>
    </row>
    <row r="67" spans="1:9" x14ac:dyDescent="0.25">
      <c r="A67" s="15" t="s">
        <v>400</v>
      </c>
      <c r="B67" s="1" t="s">
        <v>121</v>
      </c>
      <c r="C67" s="1">
        <v>67</v>
      </c>
      <c r="D67" s="1" t="s">
        <v>194</v>
      </c>
      <c r="E67" s="14" t="s">
        <v>247</v>
      </c>
      <c r="F67" s="14"/>
      <c r="G67" s="14" t="s">
        <v>288</v>
      </c>
      <c r="H67" s="19" t="s">
        <v>293</v>
      </c>
      <c r="I67" s="15" t="s">
        <v>292</v>
      </c>
    </row>
    <row r="68" spans="1:9" x14ac:dyDescent="0.25">
      <c r="A68" s="15" t="s">
        <v>401</v>
      </c>
      <c r="B68" s="1" t="s">
        <v>121</v>
      </c>
      <c r="C68" s="1">
        <v>68</v>
      </c>
      <c r="D68" s="1" t="s">
        <v>194</v>
      </c>
      <c r="E68" s="14" t="s">
        <v>247</v>
      </c>
      <c r="F68" s="14"/>
      <c r="G68" s="14" t="s">
        <v>288</v>
      </c>
      <c r="H68" s="19" t="s">
        <v>293</v>
      </c>
      <c r="I68" s="15" t="s">
        <v>292</v>
      </c>
    </row>
    <row r="69" spans="1:9" x14ac:dyDescent="0.25">
      <c r="A69" s="15" t="s">
        <v>402</v>
      </c>
      <c r="B69" s="1" t="s">
        <v>121</v>
      </c>
      <c r="C69" s="1">
        <v>69</v>
      </c>
      <c r="D69" s="1" t="s">
        <v>194</v>
      </c>
      <c r="E69" s="14" t="s">
        <v>247</v>
      </c>
      <c r="F69" s="14"/>
      <c r="G69" s="14" t="s">
        <v>288</v>
      </c>
      <c r="H69" s="19" t="s">
        <v>293</v>
      </c>
      <c r="I69" s="15" t="s">
        <v>292</v>
      </c>
    </row>
    <row r="70" spans="1:9" x14ac:dyDescent="0.25">
      <c r="A70" s="15" t="s">
        <v>403</v>
      </c>
      <c r="B70" s="1" t="s">
        <v>121</v>
      </c>
      <c r="C70" s="1">
        <v>70</v>
      </c>
      <c r="D70" s="1" t="s">
        <v>194</v>
      </c>
      <c r="E70" s="14" t="s">
        <v>247</v>
      </c>
      <c r="F70" s="14"/>
      <c r="G70" s="14" t="s">
        <v>288</v>
      </c>
      <c r="H70" s="19" t="s">
        <v>293</v>
      </c>
      <c r="I70" s="15" t="s">
        <v>292</v>
      </c>
    </row>
    <row r="71" spans="1:9" x14ac:dyDescent="0.25">
      <c r="A71" s="15" t="s">
        <v>404</v>
      </c>
      <c r="B71" s="1" t="s">
        <v>121</v>
      </c>
      <c r="C71" s="1">
        <v>71</v>
      </c>
      <c r="D71" s="1" t="s">
        <v>194</v>
      </c>
      <c r="E71" s="14" t="s">
        <v>247</v>
      </c>
      <c r="F71" s="14"/>
      <c r="G71" s="14" t="s">
        <v>288</v>
      </c>
      <c r="H71" s="19" t="s">
        <v>293</v>
      </c>
      <c r="I71" s="15" t="s">
        <v>292</v>
      </c>
    </row>
    <row r="72" spans="1:9" x14ac:dyDescent="0.25">
      <c r="A72" s="15" t="s">
        <v>405</v>
      </c>
      <c r="B72" s="1" t="s">
        <v>121</v>
      </c>
      <c r="C72" s="1">
        <v>72</v>
      </c>
      <c r="D72" s="1" t="s">
        <v>194</v>
      </c>
      <c r="E72" s="14" t="s">
        <v>247</v>
      </c>
      <c r="F72" s="14"/>
      <c r="G72" s="14" t="s">
        <v>288</v>
      </c>
      <c r="H72" s="19" t="s">
        <v>293</v>
      </c>
      <c r="I72" s="15" t="s">
        <v>292</v>
      </c>
    </row>
    <row r="73" spans="1:9" x14ac:dyDescent="0.25">
      <c r="B73" s="1"/>
      <c r="C73" s="1"/>
    </row>
    <row r="74" spans="1:9" x14ac:dyDescent="0.25">
      <c r="B74" s="1"/>
    </row>
    <row r="75" spans="1:9" x14ac:dyDescent="0.25">
      <c r="B75" s="1"/>
    </row>
    <row r="76" spans="1:9" x14ac:dyDescent="0.25">
      <c r="B76" s="1"/>
    </row>
    <row r="77" spans="1:9" x14ac:dyDescent="0.25">
      <c r="B77" s="1"/>
    </row>
    <row r="78" spans="1:9" x14ac:dyDescent="0.25">
      <c r="B78" s="1"/>
    </row>
    <row r="79" spans="1:9" x14ac:dyDescent="0.25">
      <c r="B79" s="1"/>
    </row>
    <row r="80" spans="1:9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EAAA-6828-42A1-908C-49E80C1E455F}">
  <sheetPr codeName="Sheet9"/>
  <dimension ref="A1:I34"/>
  <sheetViews>
    <sheetView workbookViewId="0">
      <selection activeCell="A16" sqref="A1:G21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8" t="s">
        <v>440</v>
      </c>
      <c r="B1" s="1" t="s">
        <v>121</v>
      </c>
      <c r="C1" s="1">
        <v>121</v>
      </c>
      <c r="D1" s="1" t="s">
        <v>194</v>
      </c>
      <c r="E1" s="26" t="s">
        <v>431</v>
      </c>
      <c r="F1" s="26"/>
      <c r="G1" s="26" t="s">
        <v>288</v>
      </c>
      <c r="H1" s="26"/>
      <c r="I1" s="8" t="s">
        <v>438</v>
      </c>
    </row>
    <row r="2" spans="1:9" x14ac:dyDescent="0.25">
      <c r="A2" s="8" t="s">
        <v>441</v>
      </c>
      <c r="B2" s="1" t="s">
        <v>121</v>
      </c>
      <c r="C2" s="1">
        <v>122</v>
      </c>
      <c r="D2" s="1" t="s">
        <v>194</v>
      </c>
      <c r="E2" s="26" t="s">
        <v>431</v>
      </c>
      <c r="F2" s="26"/>
      <c r="G2" s="26" t="s">
        <v>288</v>
      </c>
      <c r="H2" s="26"/>
      <c r="I2" s="8" t="s">
        <v>439</v>
      </c>
    </row>
    <row r="3" spans="1:9" x14ac:dyDescent="0.25">
      <c r="A3" s="8" t="s">
        <v>442</v>
      </c>
      <c r="B3" s="1" t="s">
        <v>121</v>
      </c>
      <c r="C3" s="1">
        <v>123</v>
      </c>
      <c r="D3" s="1" t="s">
        <v>194</v>
      </c>
      <c r="E3" s="26" t="s">
        <v>491</v>
      </c>
      <c r="F3" s="26">
        <v>2</v>
      </c>
      <c r="G3" s="26" t="s">
        <v>245</v>
      </c>
      <c r="H3" s="26"/>
      <c r="I3" s="8"/>
    </row>
    <row r="4" spans="1:9" x14ac:dyDescent="0.25">
      <c r="A4" s="8" t="s">
        <v>443</v>
      </c>
      <c r="B4" s="1" t="s">
        <v>121</v>
      </c>
      <c r="C4" s="1">
        <v>124</v>
      </c>
      <c r="D4" s="1" t="s">
        <v>194</v>
      </c>
      <c r="E4" s="26" t="s">
        <v>491</v>
      </c>
      <c r="F4" s="26">
        <v>2</v>
      </c>
      <c r="G4" s="26" t="s">
        <v>248</v>
      </c>
      <c r="H4" s="26"/>
      <c r="I4" s="8"/>
    </row>
    <row r="5" spans="1:9" x14ac:dyDescent="0.25">
      <c r="A5" s="8" t="s">
        <v>444</v>
      </c>
      <c r="B5" s="1" t="s">
        <v>121</v>
      </c>
      <c r="C5" s="1">
        <v>125</v>
      </c>
      <c r="D5" s="1" t="s">
        <v>194</v>
      </c>
      <c r="E5" s="26" t="s">
        <v>491</v>
      </c>
      <c r="F5" s="26">
        <v>2</v>
      </c>
      <c r="G5" s="26" t="s">
        <v>248</v>
      </c>
      <c r="H5" s="26"/>
      <c r="I5" s="8"/>
    </row>
    <row r="6" spans="1:9" x14ac:dyDescent="0.25">
      <c r="A6" s="8" t="s">
        <v>445</v>
      </c>
      <c r="B6" s="1" t="s">
        <v>121</v>
      </c>
      <c r="C6" s="1">
        <v>126</v>
      </c>
      <c r="D6" s="1" t="s">
        <v>194</v>
      </c>
      <c r="E6" s="26" t="s">
        <v>491</v>
      </c>
      <c r="F6" s="26">
        <v>4</v>
      </c>
      <c r="G6" s="26" t="s">
        <v>260</v>
      </c>
      <c r="H6" s="26"/>
      <c r="I6" s="8"/>
    </row>
    <row r="7" spans="1:9" x14ac:dyDescent="0.25">
      <c r="A7" s="8" t="s">
        <v>446</v>
      </c>
      <c r="B7" s="1" t="s">
        <v>121</v>
      </c>
      <c r="C7" s="1">
        <v>127</v>
      </c>
      <c r="D7" s="1" t="s">
        <v>194</v>
      </c>
      <c r="E7" s="26" t="s">
        <v>491</v>
      </c>
      <c r="F7" s="26">
        <v>4</v>
      </c>
      <c r="G7" s="26" t="s">
        <v>260</v>
      </c>
      <c r="H7" s="26"/>
      <c r="I7" s="8"/>
    </row>
    <row r="8" spans="1:9" x14ac:dyDescent="0.25">
      <c r="A8" s="8" t="s">
        <v>447</v>
      </c>
      <c r="B8" s="1" t="s">
        <v>121</v>
      </c>
      <c r="C8" s="1">
        <v>128</v>
      </c>
      <c r="D8" s="1" t="s">
        <v>194</v>
      </c>
      <c r="E8" s="26" t="s">
        <v>491</v>
      </c>
      <c r="F8" s="26">
        <v>2</v>
      </c>
      <c r="G8" s="26" t="s">
        <v>245</v>
      </c>
      <c r="H8" s="26"/>
      <c r="I8" s="8"/>
    </row>
    <row r="9" spans="1:9" x14ac:dyDescent="0.25">
      <c r="A9" s="8" t="s">
        <v>448</v>
      </c>
      <c r="B9" s="1" t="s">
        <v>121</v>
      </c>
      <c r="C9" s="1">
        <v>129</v>
      </c>
      <c r="D9" s="1" t="s">
        <v>194</v>
      </c>
      <c r="E9" s="26" t="s">
        <v>491</v>
      </c>
      <c r="F9" s="26">
        <v>2</v>
      </c>
      <c r="G9" s="26" t="s">
        <v>245</v>
      </c>
      <c r="H9" s="26"/>
      <c r="I9" s="8"/>
    </row>
    <row r="10" spans="1:9" x14ac:dyDescent="0.25">
      <c r="A10" s="8" t="s">
        <v>449</v>
      </c>
      <c r="B10" s="1" t="s">
        <v>121</v>
      </c>
      <c r="C10" s="1">
        <v>130</v>
      </c>
      <c r="D10" s="1" t="s">
        <v>194</v>
      </c>
      <c r="E10" s="26" t="s">
        <v>491</v>
      </c>
      <c r="F10" s="26">
        <v>2</v>
      </c>
      <c r="G10" s="26" t="s">
        <v>245</v>
      </c>
      <c r="H10" s="26"/>
      <c r="I10" s="8"/>
    </row>
    <row r="11" spans="1:9" x14ac:dyDescent="0.25">
      <c r="A11" s="8" t="s">
        <v>450</v>
      </c>
      <c r="B11" s="1" t="s">
        <v>121</v>
      </c>
      <c r="C11" s="1">
        <v>131</v>
      </c>
      <c r="D11" s="1" t="s">
        <v>194</v>
      </c>
      <c r="E11" s="26" t="s">
        <v>491</v>
      </c>
      <c r="F11" s="26">
        <v>2</v>
      </c>
      <c r="G11" s="26" t="s">
        <v>245</v>
      </c>
      <c r="H11" s="26"/>
      <c r="I11" s="8"/>
    </row>
    <row r="12" spans="1:9" x14ac:dyDescent="0.25">
      <c r="A12" s="8" t="s">
        <v>451</v>
      </c>
      <c r="B12" s="1" t="s">
        <v>121</v>
      </c>
      <c r="C12" s="1">
        <v>132</v>
      </c>
      <c r="D12" s="1" t="s">
        <v>194</v>
      </c>
      <c r="E12" s="26" t="s">
        <v>491</v>
      </c>
      <c r="F12" s="26">
        <v>2</v>
      </c>
      <c r="G12" s="26" t="s">
        <v>245</v>
      </c>
      <c r="H12" s="26"/>
      <c r="I12" s="8"/>
    </row>
    <row r="13" spans="1:9" x14ac:dyDescent="0.25">
      <c r="A13" s="8" t="s">
        <v>452</v>
      </c>
      <c r="B13" s="1" t="s">
        <v>121</v>
      </c>
      <c r="C13" s="1">
        <v>133</v>
      </c>
      <c r="D13" s="1" t="s">
        <v>194</v>
      </c>
      <c r="E13" s="26" t="s">
        <v>491</v>
      </c>
      <c r="F13" s="26">
        <v>2</v>
      </c>
      <c r="G13" s="26" t="s">
        <v>245</v>
      </c>
      <c r="H13" s="26"/>
      <c r="I13" s="8"/>
    </row>
    <row r="14" spans="1:9" x14ac:dyDescent="0.25">
      <c r="A14" s="8" t="s">
        <v>453</v>
      </c>
      <c r="B14" s="1" t="s">
        <v>121</v>
      </c>
      <c r="C14" s="1">
        <v>134</v>
      </c>
      <c r="D14" s="1" t="s">
        <v>194</v>
      </c>
      <c r="E14" s="26" t="s">
        <v>491</v>
      </c>
      <c r="F14" s="26">
        <v>2</v>
      </c>
      <c r="G14" s="26" t="s">
        <v>248</v>
      </c>
      <c r="H14" s="26"/>
      <c r="I14" s="8"/>
    </row>
    <row r="15" spans="1:9" x14ac:dyDescent="0.25">
      <c r="A15" s="8" t="s">
        <v>454</v>
      </c>
      <c r="B15" s="1" t="s">
        <v>121</v>
      </c>
      <c r="C15" s="1">
        <v>135</v>
      </c>
      <c r="D15" s="1" t="s">
        <v>194</v>
      </c>
      <c r="E15" s="26" t="s">
        <v>491</v>
      </c>
      <c r="F15" s="26">
        <v>2</v>
      </c>
      <c r="G15" s="26" t="s">
        <v>248</v>
      </c>
      <c r="H15" s="26"/>
      <c r="I15" s="8"/>
    </row>
    <row r="16" spans="1:9" x14ac:dyDescent="0.25">
      <c r="A16" s="8" t="s">
        <v>455</v>
      </c>
      <c r="B16" s="1" t="s">
        <v>121</v>
      </c>
      <c r="C16" s="1">
        <v>136</v>
      </c>
      <c r="D16" s="1" t="s">
        <v>194</v>
      </c>
      <c r="E16" s="26" t="s">
        <v>491</v>
      </c>
      <c r="F16" s="26">
        <v>2</v>
      </c>
      <c r="G16" s="26" t="s">
        <v>248</v>
      </c>
      <c r="H16" s="26"/>
      <c r="I16" s="8"/>
    </row>
    <row r="17" spans="1:9" x14ac:dyDescent="0.25">
      <c r="A17" s="8" t="s">
        <v>456</v>
      </c>
      <c r="B17" s="1" t="s">
        <v>121</v>
      </c>
      <c r="C17" s="1">
        <v>137</v>
      </c>
      <c r="D17" s="1" t="s">
        <v>194</v>
      </c>
      <c r="E17" s="26" t="s">
        <v>491</v>
      </c>
      <c r="F17" s="26">
        <v>2</v>
      </c>
      <c r="G17" s="26" t="s">
        <v>245</v>
      </c>
      <c r="H17" s="26"/>
      <c r="I17" s="8"/>
    </row>
    <row r="18" spans="1:9" x14ac:dyDescent="0.25">
      <c r="A18" s="8" t="s">
        <v>457</v>
      </c>
      <c r="B18" s="1" t="s">
        <v>121</v>
      </c>
      <c r="C18" s="1">
        <v>138</v>
      </c>
      <c r="D18" s="1" t="s">
        <v>194</v>
      </c>
      <c r="E18" s="26" t="s">
        <v>491</v>
      </c>
      <c r="F18" s="26">
        <v>2</v>
      </c>
      <c r="G18" s="26" t="s">
        <v>245</v>
      </c>
      <c r="H18" s="26"/>
      <c r="I18" s="8"/>
    </row>
    <row r="19" spans="1:9" x14ac:dyDescent="0.25">
      <c r="A19" s="8" t="s">
        <v>458</v>
      </c>
      <c r="B19" s="1" t="s">
        <v>121</v>
      </c>
      <c r="C19" s="1">
        <v>139</v>
      </c>
      <c r="D19" s="1" t="s">
        <v>194</v>
      </c>
      <c r="E19" s="26" t="s">
        <v>491</v>
      </c>
      <c r="F19" s="26">
        <v>2</v>
      </c>
      <c r="G19" s="26" t="s">
        <v>245</v>
      </c>
      <c r="H19" s="26"/>
      <c r="I19" s="8"/>
    </row>
    <row r="20" spans="1:9" x14ac:dyDescent="0.25">
      <c r="A20" s="8" t="s">
        <v>492</v>
      </c>
      <c r="B20" s="1" t="s">
        <v>121</v>
      </c>
      <c r="C20" s="1">
        <v>140</v>
      </c>
      <c r="D20" s="1" t="s">
        <v>194</v>
      </c>
      <c r="E20" s="26" t="s">
        <v>431</v>
      </c>
      <c r="F20" s="26"/>
      <c r="G20" s="26" t="s">
        <v>288</v>
      </c>
      <c r="H20" s="26"/>
      <c r="I20" s="8"/>
    </row>
    <row r="21" spans="1:9" x14ac:dyDescent="0.25">
      <c r="A21" s="8" t="s">
        <v>493</v>
      </c>
      <c r="B21" s="1" t="s">
        <v>121</v>
      </c>
      <c r="C21" s="1">
        <v>141</v>
      </c>
      <c r="D21" s="1" t="s">
        <v>194</v>
      </c>
      <c r="E21" s="26" t="s">
        <v>431</v>
      </c>
      <c r="F21" s="26"/>
      <c r="G21" s="26" t="s">
        <v>288</v>
      </c>
      <c r="H21" s="26"/>
      <c r="I21" s="8"/>
    </row>
    <row r="22" spans="1:9" x14ac:dyDescent="0.25">
      <c r="B22" s="1"/>
    </row>
    <row r="23" spans="1:9" x14ac:dyDescent="0.25">
      <c r="B23" s="1"/>
    </row>
    <row r="24" spans="1:9" x14ac:dyDescent="0.25">
      <c r="B24" s="1"/>
    </row>
    <row r="25" spans="1:9" x14ac:dyDescent="0.25">
      <c r="B25" s="1"/>
    </row>
    <row r="26" spans="1:9" x14ac:dyDescent="0.25">
      <c r="B26" s="1"/>
    </row>
    <row r="27" spans="1:9" x14ac:dyDescent="0.25">
      <c r="B27" s="1"/>
    </row>
    <row r="28" spans="1:9" x14ac:dyDescent="0.25">
      <c r="B28" s="1"/>
    </row>
    <row r="29" spans="1:9" x14ac:dyDescent="0.25">
      <c r="B29" s="1"/>
    </row>
    <row r="30" spans="1:9" x14ac:dyDescent="0.25">
      <c r="B30" s="1"/>
    </row>
    <row r="31" spans="1:9" x14ac:dyDescent="0.25">
      <c r="B31" s="1"/>
    </row>
    <row r="32" spans="1:9" x14ac:dyDescent="0.25">
      <c r="B32" s="1"/>
    </row>
    <row r="33" spans="2:2" x14ac:dyDescent="0.25">
      <c r="B33" s="1"/>
    </row>
    <row r="34" spans="2:2" x14ac:dyDescent="0.25">
      <c r="B34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7819-643F-467D-8E79-7FAC6E2F32FF}">
  <sheetPr codeName="Sheet10"/>
  <dimension ref="A1:I28"/>
  <sheetViews>
    <sheetView workbookViewId="0">
      <selection activeCell="A19" sqref="A1:E28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12" t="s">
        <v>459</v>
      </c>
      <c r="B1" s="1" t="s">
        <v>121</v>
      </c>
      <c r="C1" s="1">
        <v>142</v>
      </c>
      <c r="D1" s="1" t="s">
        <v>194</v>
      </c>
      <c r="E1" s="12" t="s">
        <v>431</v>
      </c>
      <c r="F1" s="12"/>
      <c r="G1" s="12" t="s">
        <v>288</v>
      </c>
      <c r="H1" s="12"/>
      <c r="I1" s="12" t="s">
        <v>488</v>
      </c>
    </row>
    <row r="2" spans="1:9" x14ac:dyDescent="0.25">
      <c r="A2" s="12" t="s">
        <v>460</v>
      </c>
      <c r="B2" s="1" t="s">
        <v>121</v>
      </c>
      <c r="C2" s="1">
        <v>143</v>
      </c>
      <c r="D2" s="1" t="s">
        <v>194</v>
      </c>
      <c r="E2" s="12" t="s">
        <v>431</v>
      </c>
      <c r="F2" s="12"/>
      <c r="G2" s="12" t="s">
        <v>288</v>
      </c>
      <c r="H2" s="12"/>
      <c r="I2" s="12" t="s">
        <v>489</v>
      </c>
    </row>
    <row r="3" spans="1:9" x14ac:dyDescent="0.25">
      <c r="A3" s="12" t="s">
        <v>486</v>
      </c>
      <c r="B3" s="1" t="s">
        <v>121</v>
      </c>
      <c r="C3" s="1">
        <v>144</v>
      </c>
      <c r="D3" s="1" t="s">
        <v>194</v>
      </c>
      <c r="E3" s="12"/>
      <c r="F3" s="12"/>
      <c r="G3" s="12"/>
      <c r="H3" s="12"/>
      <c r="I3" s="12" t="s">
        <v>485</v>
      </c>
    </row>
    <row r="4" spans="1:9" x14ac:dyDescent="0.25">
      <c r="A4" s="12" t="s">
        <v>487</v>
      </c>
      <c r="B4" s="1" t="s">
        <v>121</v>
      </c>
      <c r="C4" s="1">
        <v>145</v>
      </c>
      <c r="D4" s="1" t="s">
        <v>194</v>
      </c>
      <c r="E4" s="12"/>
      <c r="F4" s="12"/>
      <c r="G4" s="12"/>
      <c r="H4" s="12"/>
      <c r="I4" s="12"/>
    </row>
    <row r="5" spans="1:9" x14ac:dyDescent="0.25">
      <c r="A5" s="12" t="s">
        <v>461</v>
      </c>
      <c r="B5" s="1" t="s">
        <v>121</v>
      </c>
      <c r="C5" s="1">
        <v>146</v>
      </c>
      <c r="D5" s="1" t="s">
        <v>194</v>
      </c>
      <c r="E5" s="12"/>
      <c r="F5" s="12"/>
      <c r="G5" s="12"/>
      <c r="H5" s="12"/>
      <c r="I5" s="12"/>
    </row>
    <row r="6" spans="1:9" x14ac:dyDescent="0.25">
      <c r="A6" s="12" t="s">
        <v>462</v>
      </c>
      <c r="B6" s="1" t="s">
        <v>121</v>
      </c>
      <c r="C6" s="1">
        <v>147</v>
      </c>
      <c r="D6" s="1" t="s">
        <v>194</v>
      </c>
      <c r="E6" s="12"/>
      <c r="F6" s="12"/>
      <c r="G6" s="12"/>
      <c r="H6" s="12"/>
      <c r="I6" s="12"/>
    </row>
    <row r="7" spans="1:9" x14ac:dyDescent="0.25">
      <c r="A7" s="12" t="s">
        <v>463</v>
      </c>
      <c r="B7" s="1" t="s">
        <v>121</v>
      </c>
      <c r="C7" s="1">
        <v>148</v>
      </c>
      <c r="D7" s="1" t="s">
        <v>194</v>
      </c>
      <c r="E7" s="12"/>
      <c r="F7" s="12"/>
      <c r="G7" s="12"/>
      <c r="H7" s="12"/>
      <c r="I7" s="12"/>
    </row>
    <row r="8" spans="1:9" x14ac:dyDescent="0.25">
      <c r="A8" s="12" t="s">
        <v>464</v>
      </c>
      <c r="B8" s="1" t="s">
        <v>121</v>
      </c>
      <c r="C8" s="1">
        <v>149</v>
      </c>
      <c r="D8" s="1" t="s">
        <v>194</v>
      </c>
      <c r="E8" s="12"/>
      <c r="F8" s="12"/>
      <c r="G8" s="12"/>
      <c r="H8" s="12"/>
      <c r="I8" s="12"/>
    </row>
    <row r="9" spans="1:9" x14ac:dyDescent="0.25">
      <c r="A9" s="12" t="s">
        <v>465</v>
      </c>
      <c r="B9" s="1" t="s">
        <v>121</v>
      </c>
      <c r="C9" s="1">
        <v>150</v>
      </c>
      <c r="D9" s="1" t="s">
        <v>194</v>
      </c>
      <c r="E9" s="12"/>
      <c r="F9" s="12"/>
      <c r="G9" s="12"/>
      <c r="H9" s="12"/>
      <c r="I9" s="12"/>
    </row>
    <row r="10" spans="1:9" x14ac:dyDescent="0.25">
      <c r="A10" s="12" t="s">
        <v>466</v>
      </c>
      <c r="B10" s="1" t="s">
        <v>121</v>
      </c>
      <c r="C10" s="1">
        <v>151</v>
      </c>
      <c r="D10" s="1" t="s">
        <v>194</v>
      </c>
      <c r="E10" s="12"/>
      <c r="F10" s="12"/>
      <c r="G10" s="12"/>
      <c r="H10" s="12"/>
      <c r="I10" s="12"/>
    </row>
    <row r="11" spans="1:9" x14ac:dyDescent="0.25">
      <c r="A11" s="12" t="s">
        <v>467</v>
      </c>
      <c r="B11" s="1" t="s">
        <v>121</v>
      </c>
      <c r="C11" s="1">
        <v>152</v>
      </c>
      <c r="D11" s="1" t="s">
        <v>194</v>
      </c>
      <c r="E11" s="12"/>
      <c r="F11" s="12"/>
      <c r="G11" s="12"/>
      <c r="H11" s="12"/>
      <c r="I11" s="12"/>
    </row>
    <row r="12" spans="1:9" x14ac:dyDescent="0.25">
      <c r="A12" s="12" t="s">
        <v>468</v>
      </c>
      <c r="B12" s="1" t="s">
        <v>121</v>
      </c>
      <c r="C12" s="1">
        <v>153</v>
      </c>
      <c r="D12" s="1" t="s">
        <v>194</v>
      </c>
      <c r="E12" s="12"/>
      <c r="F12" s="12"/>
      <c r="G12" s="12"/>
      <c r="H12" s="12"/>
      <c r="I12" s="12"/>
    </row>
    <row r="13" spans="1:9" x14ac:dyDescent="0.25">
      <c r="A13" s="12" t="s">
        <v>469</v>
      </c>
      <c r="B13" s="1" t="s">
        <v>121</v>
      </c>
      <c r="C13" s="1">
        <v>154</v>
      </c>
      <c r="D13" s="1" t="s">
        <v>194</v>
      </c>
      <c r="E13" s="12"/>
      <c r="F13" s="12"/>
      <c r="G13" s="12"/>
      <c r="H13" s="12"/>
      <c r="I13" s="12"/>
    </row>
    <row r="14" spans="1:9" x14ac:dyDescent="0.25">
      <c r="A14" s="12" t="s">
        <v>470</v>
      </c>
      <c r="B14" s="1" t="s">
        <v>121</v>
      </c>
      <c r="C14" s="1">
        <v>155</v>
      </c>
      <c r="D14" s="1" t="s">
        <v>194</v>
      </c>
      <c r="E14" s="12"/>
      <c r="F14" s="12"/>
      <c r="G14" s="12"/>
      <c r="H14" s="12"/>
      <c r="I14" s="12"/>
    </row>
    <row r="15" spans="1:9" x14ac:dyDescent="0.25">
      <c r="A15" s="12" t="s">
        <v>471</v>
      </c>
      <c r="B15" s="1" t="s">
        <v>121</v>
      </c>
      <c r="C15" s="1">
        <v>156</v>
      </c>
      <c r="D15" s="1" t="s">
        <v>194</v>
      </c>
      <c r="E15" s="12"/>
      <c r="F15" s="12"/>
      <c r="G15" s="12"/>
      <c r="H15" s="12"/>
      <c r="I15" s="12"/>
    </row>
    <row r="16" spans="1:9" x14ac:dyDescent="0.25">
      <c r="A16" s="12" t="s">
        <v>472</v>
      </c>
      <c r="B16" s="1" t="s">
        <v>121</v>
      </c>
      <c r="C16" s="1">
        <v>157</v>
      </c>
      <c r="D16" s="1" t="s">
        <v>194</v>
      </c>
      <c r="E16" s="12"/>
      <c r="F16" s="12"/>
      <c r="G16" s="12"/>
      <c r="H16" s="12"/>
      <c r="I16" s="12"/>
    </row>
    <row r="17" spans="1:9" x14ac:dyDescent="0.25">
      <c r="A17" s="12" t="s">
        <v>473</v>
      </c>
      <c r="B17" s="1" t="s">
        <v>121</v>
      </c>
      <c r="C17" s="1">
        <v>158</v>
      </c>
      <c r="D17" s="1" t="s">
        <v>194</v>
      </c>
      <c r="E17" s="12"/>
      <c r="F17" s="12"/>
      <c r="G17" s="12"/>
      <c r="H17" s="12"/>
      <c r="I17" s="12"/>
    </row>
    <row r="18" spans="1:9" x14ac:dyDescent="0.25">
      <c r="A18" s="12" t="s">
        <v>474</v>
      </c>
      <c r="B18" s="1" t="s">
        <v>121</v>
      </c>
      <c r="C18" s="1">
        <v>159</v>
      </c>
      <c r="D18" s="1" t="s">
        <v>194</v>
      </c>
      <c r="E18" s="12"/>
      <c r="F18" s="12"/>
      <c r="G18" s="12"/>
      <c r="H18" s="12"/>
      <c r="I18" s="12"/>
    </row>
    <row r="19" spans="1:9" x14ac:dyDescent="0.25">
      <c r="A19" s="12" t="s">
        <v>475</v>
      </c>
      <c r="B19" s="1" t="s">
        <v>121</v>
      </c>
      <c r="C19" s="1">
        <v>160</v>
      </c>
      <c r="D19" s="1" t="s">
        <v>194</v>
      </c>
      <c r="E19" s="12"/>
      <c r="F19" s="12"/>
      <c r="G19" s="12"/>
      <c r="H19" s="12"/>
      <c r="I19" s="12"/>
    </row>
    <row r="20" spans="1:9" x14ac:dyDescent="0.25">
      <c r="A20" s="12" t="s">
        <v>476</v>
      </c>
      <c r="B20" s="1" t="s">
        <v>121</v>
      </c>
      <c r="C20" s="1">
        <v>161</v>
      </c>
      <c r="D20" s="1" t="s">
        <v>194</v>
      </c>
      <c r="E20" s="12"/>
      <c r="F20" s="12"/>
      <c r="G20" s="12"/>
      <c r="H20" s="12"/>
      <c r="I20" s="12"/>
    </row>
    <row r="21" spans="1:9" x14ac:dyDescent="0.25">
      <c r="A21" s="12" t="s">
        <v>477</v>
      </c>
      <c r="B21" s="1" t="s">
        <v>121</v>
      </c>
      <c r="C21" s="1">
        <v>162</v>
      </c>
      <c r="D21" s="1" t="s">
        <v>194</v>
      </c>
      <c r="E21" s="12"/>
      <c r="F21" s="12"/>
      <c r="G21" s="12"/>
      <c r="H21" s="12"/>
      <c r="I21" s="12"/>
    </row>
    <row r="22" spans="1:9" x14ac:dyDescent="0.25">
      <c r="A22" s="12" t="s">
        <v>478</v>
      </c>
      <c r="B22" s="1" t="s">
        <v>121</v>
      </c>
      <c r="C22" s="1">
        <v>163</v>
      </c>
      <c r="D22" s="1" t="s">
        <v>194</v>
      </c>
      <c r="E22" s="12"/>
      <c r="F22" s="12"/>
      <c r="G22" s="12"/>
      <c r="H22" s="12"/>
      <c r="I22" s="12"/>
    </row>
    <row r="23" spans="1:9" x14ac:dyDescent="0.25">
      <c r="A23" s="12" t="s">
        <v>479</v>
      </c>
      <c r="B23" s="1" t="s">
        <v>121</v>
      </c>
      <c r="C23" s="1">
        <v>164</v>
      </c>
      <c r="D23" s="1" t="s">
        <v>194</v>
      </c>
      <c r="E23" s="12"/>
      <c r="F23" s="12"/>
      <c r="G23" s="12"/>
      <c r="H23" s="12"/>
      <c r="I23" s="12"/>
    </row>
    <row r="24" spans="1:9" x14ac:dyDescent="0.25">
      <c r="A24" s="12" t="s">
        <v>480</v>
      </c>
      <c r="B24" s="1" t="s">
        <v>121</v>
      </c>
      <c r="C24" s="1">
        <v>165</v>
      </c>
      <c r="D24" s="1" t="s">
        <v>194</v>
      </c>
      <c r="E24" s="12"/>
      <c r="F24" s="12"/>
      <c r="G24" s="12"/>
      <c r="H24" s="12"/>
      <c r="I24" s="12"/>
    </row>
    <row r="25" spans="1:9" x14ac:dyDescent="0.25">
      <c r="A25" s="12" t="s">
        <v>481</v>
      </c>
      <c r="B25" s="1" t="s">
        <v>121</v>
      </c>
      <c r="C25" s="1">
        <v>166</v>
      </c>
      <c r="D25" s="1" t="s">
        <v>194</v>
      </c>
      <c r="E25" s="12"/>
      <c r="F25" s="12"/>
      <c r="G25" s="12"/>
      <c r="H25" s="12"/>
      <c r="I25" s="12"/>
    </row>
    <row r="26" spans="1:9" x14ac:dyDescent="0.25">
      <c r="A26" s="12" t="s">
        <v>482</v>
      </c>
      <c r="B26" s="1" t="s">
        <v>121</v>
      </c>
      <c r="C26" s="1">
        <v>167</v>
      </c>
      <c r="D26" s="1" t="s">
        <v>194</v>
      </c>
      <c r="E26" s="12"/>
      <c r="F26" s="12"/>
      <c r="G26" s="12"/>
      <c r="H26" s="12"/>
      <c r="I26" s="12"/>
    </row>
    <row r="27" spans="1:9" x14ac:dyDescent="0.25">
      <c r="A27" s="12" t="s">
        <v>483</v>
      </c>
      <c r="B27" s="1" t="s">
        <v>121</v>
      </c>
      <c r="C27" s="1">
        <v>168</v>
      </c>
      <c r="D27" s="1" t="s">
        <v>194</v>
      </c>
      <c r="E27" s="12"/>
      <c r="F27" s="12"/>
      <c r="G27" s="12"/>
      <c r="H27" s="12"/>
      <c r="I27" s="12"/>
    </row>
    <row r="28" spans="1:9" x14ac:dyDescent="0.25">
      <c r="A28" s="12" t="s">
        <v>484</v>
      </c>
      <c r="B28" s="1" t="s">
        <v>121</v>
      </c>
      <c r="C28" s="1">
        <v>169</v>
      </c>
      <c r="D28" s="1" t="s">
        <v>194</v>
      </c>
      <c r="E28" s="12"/>
      <c r="F28" s="12"/>
      <c r="G28" s="12"/>
      <c r="H28" s="12"/>
      <c r="I28" s="1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DE5E-A2A9-42AE-B245-A5238FDD37AB}">
  <sheetPr codeName="Sheet11"/>
  <dimension ref="A1:I31"/>
  <sheetViews>
    <sheetView workbookViewId="0">
      <selection activeCell="A12" sqref="A1:E17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18" t="s">
        <v>127</v>
      </c>
      <c r="B1" s="1" t="s">
        <v>121</v>
      </c>
      <c r="C1" s="1">
        <v>170</v>
      </c>
      <c r="D1" s="1" t="s">
        <v>194</v>
      </c>
      <c r="E1" s="18" t="s">
        <v>431</v>
      </c>
      <c r="F1" s="18"/>
      <c r="G1" s="18" t="s">
        <v>288</v>
      </c>
      <c r="H1" s="18"/>
      <c r="I1" s="18" t="s">
        <v>488</v>
      </c>
    </row>
    <row r="2" spans="1:9" x14ac:dyDescent="0.25">
      <c r="A2" s="18" t="s">
        <v>490</v>
      </c>
      <c r="B2" s="1" t="s">
        <v>121</v>
      </c>
      <c r="C2" s="1">
        <v>171</v>
      </c>
      <c r="D2" s="1" t="s">
        <v>194</v>
      </c>
      <c r="E2" s="18" t="s">
        <v>431</v>
      </c>
      <c r="F2" s="18"/>
      <c r="G2" s="18" t="s">
        <v>288</v>
      </c>
      <c r="H2" s="18"/>
      <c r="I2" s="18" t="s">
        <v>489</v>
      </c>
    </row>
    <row r="3" spans="1:9" x14ac:dyDescent="0.25">
      <c r="A3" s="18" t="s">
        <v>178</v>
      </c>
      <c r="B3" s="1" t="s">
        <v>121</v>
      </c>
      <c r="C3" s="1">
        <v>172</v>
      </c>
      <c r="D3" s="1" t="s">
        <v>194</v>
      </c>
      <c r="E3" s="18"/>
      <c r="F3" s="18"/>
      <c r="G3" s="18"/>
      <c r="H3" s="18"/>
      <c r="I3" s="18" t="s">
        <v>413</v>
      </c>
    </row>
    <row r="4" spans="1:9" x14ac:dyDescent="0.25">
      <c r="A4" s="18" t="s">
        <v>177</v>
      </c>
      <c r="B4" s="1" t="s">
        <v>121</v>
      </c>
      <c r="C4" s="1">
        <v>173</v>
      </c>
      <c r="D4" s="1" t="s">
        <v>194</v>
      </c>
      <c r="E4" s="18"/>
      <c r="F4" s="18"/>
      <c r="G4" s="18"/>
      <c r="H4" s="18"/>
      <c r="I4" s="18" t="s">
        <v>414</v>
      </c>
    </row>
    <row r="5" spans="1:9" x14ac:dyDescent="0.25">
      <c r="A5" s="18" t="s">
        <v>410</v>
      </c>
      <c r="B5" s="1" t="s">
        <v>121</v>
      </c>
      <c r="C5" s="1">
        <v>174</v>
      </c>
      <c r="D5" s="1" t="s">
        <v>194</v>
      </c>
      <c r="E5" s="18"/>
      <c r="F5" s="18"/>
      <c r="G5" s="18"/>
      <c r="H5" s="18"/>
      <c r="I5" s="18" t="s">
        <v>415</v>
      </c>
    </row>
    <row r="6" spans="1:9" x14ac:dyDescent="0.25">
      <c r="A6" s="18" t="s">
        <v>411</v>
      </c>
      <c r="B6" s="1" t="s">
        <v>121</v>
      </c>
      <c r="C6" s="1">
        <v>175</v>
      </c>
      <c r="D6" s="1" t="s">
        <v>194</v>
      </c>
      <c r="E6" s="18"/>
      <c r="F6" s="18"/>
      <c r="G6" s="18"/>
      <c r="H6" s="18"/>
      <c r="I6" s="18" t="s">
        <v>416</v>
      </c>
    </row>
    <row r="7" spans="1:9" x14ac:dyDescent="0.25">
      <c r="A7" s="18" t="s">
        <v>412</v>
      </c>
      <c r="B7" s="1" t="s">
        <v>121</v>
      </c>
      <c r="C7" s="1">
        <v>176</v>
      </c>
      <c r="D7" s="1" t="s">
        <v>194</v>
      </c>
      <c r="E7" s="18"/>
      <c r="F7" s="18"/>
      <c r="G7" s="18"/>
      <c r="H7" s="18"/>
      <c r="I7" s="18" t="s">
        <v>417</v>
      </c>
    </row>
    <row r="8" spans="1:9" x14ac:dyDescent="0.25">
      <c r="A8" s="18" t="s">
        <v>419</v>
      </c>
      <c r="B8" s="1" t="s">
        <v>121</v>
      </c>
      <c r="C8" s="1">
        <v>177</v>
      </c>
      <c r="D8" s="1" t="s">
        <v>194</v>
      </c>
      <c r="E8" s="18"/>
      <c r="F8" s="18"/>
      <c r="G8" s="18"/>
      <c r="H8" s="18"/>
      <c r="I8" s="18" t="s">
        <v>418</v>
      </c>
    </row>
    <row r="9" spans="1:9" x14ac:dyDescent="0.25">
      <c r="A9" s="18" t="s">
        <v>126</v>
      </c>
      <c r="B9" s="1" t="s">
        <v>121</v>
      </c>
      <c r="C9" s="1">
        <v>178</v>
      </c>
      <c r="D9" s="1" t="s">
        <v>194</v>
      </c>
      <c r="E9" s="18"/>
      <c r="F9" s="18"/>
      <c r="G9" s="18"/>
      <c r="H9" s="18"/>
      <c r="I9" s="18" t="s">
        <v>420</v>
      </c>
    </row>
    <row r="10" spans="1:9" x14ac:dyDescent="0.25">
      <c r="A10" s="18" t="s">
        <v>407</v>
      </c>
      <c r="B10" s="1" t="s">
        <v>121</v>
      </c>
      <c r="C10" s="1">
        <v>179</v>
      </c>
      <c r="D10" s="1" t="s">
        <v>194</v>
      </c>
      <c r="E10" s="18"/>
      <c r="F10" s="18"/>
      <c r="G10" s="18"/>
      <c r="H10" s="18"/>
      <c r="I10" s="18" t="s">
        <v>422</v>
      </c>
    </row>
    <row r="11" spans="1:9" x14ac:dyDescent="0.25">
      <c r="A11" s="18" t="s">
        <v>408</v>
      </c>
      <c r="B11" s="1" t="s">
        <v>121</v>
      </c>
      <c r="C11" s="1">
        <v>180</v>
      </c>
      <c r="D11" s="1" t="s">
        <v>194</v>
      </c>
      <c r="E11" s="18"/>
      <c r="F11" s="18"/>
      <c r="G11" s="18"/>
      <c r="H11" s="18"/>
      <c r="I11" s="18" t="s">
        <v>421</v>
      </c>
    </row>
    <row r="12" spans="1:9" x14ac:dyDescent="0.25">
      <c r="A12" s="18" t="s">
        <v>406</v>
      </c>
      <c r="B12" s="1" t="s">
        <v>121</v>
      </c>
      <c r="C12" s="1">
        <v>181</v>
      </c>
      <c r="D12" s="1" t="s">
        <v>194</v>
      </c>
      <c r="E12" s="18"/>
      <c r="F12" s="18"/>
      <c r="G12" s="18"/>
      <c r="H12" s="18"/>
      <c r="I12" s="18" t="s">
        <v>193</v>
      </c>
    </row>
    <row r="13" spans="1:9" x14ac:dyDescent="0.25">
      <c r="A13" s="18" t="s">
        <v>423</v>
      </c>
      <c r="B13" s="1" t="s">
        <v>121</v>
      </c>
      <c r="C13" s="1">
        <v>182</v>
      </c>
      <c r="D13" s="1" t="s">
        <v>194</v>
      </c>
      <c r="E13" s="18"/>
      <c r="F13" s="18"/>
      <c r="G13" s="18"/>
      <c r="H13" s="18"/>
      <c r="I13" s="18" t="s">
        <v>228</v>
      </c>
    </row>
    <row r="14" spans="1:9" x14ac:dyDescent="0.25">
      <c r="A14" s="18" t="s">
        <v>424</v>
      </c>
      <c r="B14" s="1" t="s">
        <v>121</v>
      </c>
      <c r="C14" s="1">
        <v>183</v>
      </c>
      <c r="D14" s="1" t="s">
        <v>194</v>
      </c>
      <c r="E14" s="18"/>
      <c r="F14" s="18"/>
      <c r="G14" s="18"/>
      <c r="H14" s="18"/>
      <c r="I14" s="18" t="s">
        <v>229</v>
      </c>
    </row>
    <row r="15" spans="1:9" x14ac:dyDescent="0.25">
      <c r="A15" s="18" t="s">
        <v>179</v>
      </c>
      <c r="B15" s="1" t="s">
        <v>121</v>
      </c>
      <c r="C15" s="1">
        <v>184</v>
      </c>
      <c r="D15" s="1" t="s">
        <v>194</v>
      </c>
      <c r="E15" s="18"/>
      <c r="F15" s="18"/>
      <c r="G15" s="18"/>
      <c r="H15" s="18"/>
      <c r="I15" s="18" t="s">
        <v>425</v>
      </c>
    </row>
    <row r="16" spans="1:9" x14ac:dyDescent="0.25">
      <c r="A16" s="18" t="s">
        <v>180</v>
      </c>
      <c r="B16" s="1" t="s">
        <v>121</v>
      </c>
      <c r="C16" s="1">
        <v>185</v>
      </c>
      <c r="D16" s="1" t="s">
        <v>194</v>
      </c>
      <c r="E16" s="18"/>
      <c r="F16" s="18"/>
      <c r="G16" s="18"/>
      <c r="H16" s="18"/>
      <c r="I16" s="18" t="s">
        <v>425</v>
      </c>
    </row>
    <row r="17" spans="1:9" x14ac:dyDescent="0.25">
      <c r="A17" s="18" t="s">
        <v>290</v>
      </c>
      <c r="B17" s="1" t="s">
        <v>121</v>
      </c>
      <c r="C17" s="1">
        <v>186</v>
      </c>
      <c r="D17" s="1" t="s">
        <v>194</v>
      </c>
      <c r="E17" s="18"/>
      <c r="F17" s="18"/>
      <c r="G17" s="18"/>
      <c r="H17" s="18"/>
      <c r="I17" s="18" t="s">
        <v>425</v>
      </c>
    </row>
    <row r="18" spans="1:9" x14ac:dyDescent="0.25">
      <c r="B18" s="1"/>
      <c r="C18" s="1"/>
    </row>
    <row r="19" spans="1:9" x14ac:dyDescent="0.25">
      <c r="B19" s="1"/>
    </row>
    <row r="20" spans="1:9" x14ac:dyDescent="0.25">
      <c r="B20" s="1"/>
    </row>
    <row r="21" spans="1:9" x14ac:dyDescent="0.25">
      <c r="B21" s="1"/>
    </row>
    <row r="22" spans="1:9" x14ac:dyDescent="0.25">
      <c r="B22" s="1"/>
    </row>
    <row r="23" spans="1:9" x14ac:dyDescent="0.25">
      <c r="B23" s="1"/>
    </row>
    <row r="24" spans="1:9" x14ac:dyDescent="0.25">
      <c r="B24" s="1"/>
    </row>
    <row r="25" spans="1:9" x14ac:dyDescent="0.25">
      <c r="B25" s="1"/>
    </row>
    <row r="26" spans="1:9" x14ac:dyDescent="0.25">
      <c r="B26" s="1"/>
    </row>
    <row r="27" spans="1:9" x14ac:dyDescent="0.25">
      <c r="B27" s="1"/>
    </row>
    <row r="28" spans="1:9" x14ac:dyDescent="0.25">
      <c r="B28" s="1"/>
    </row>
    <row r="29" spans="1:9" x14ac:dyDescent="0.25">
      <c r="B29" s="1"/>
    </row>
    <row r="30" spans="1:9" x14ac:dyDescent="0.25">
      <c r="B30" s="1"/>
    </row>
    <row r="31" spans="1:9" x14ac:dyDescent="0.25">
      <c r="B31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F06F-FEF1-4D4E-91AB-14B321A61889}">
  <sheetPr codeName="Sheet12"/>
  <dimension ref="A1:I200"/>
  <sheetViews>
    <sheetView topLeftCell="A16" workbookViewId="0">
      <selection activeCell="A154" sqref="A1:I186"/>
    </sheetView>
  </sheetViews>
  <sheetFormatPr defaultRowHeight="15" x14ac:dyDescent="0.25"/>
  <cols>
    <col min="1" max="1" width="36.2851562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9" t="s">
        <v>494</v>
      </c>
      <c r="B1" s="1" t="s">
        <v>121</v>
      </c>
      <c r="C1" s="1">
        <v>1</v>
      </c>
      <c r="D1" s="1" t="s">
        <v>194</v>
      </c>
      <c r="E1" s="4" t="s">
        <v>431</v>
      </c>
      <c r="F1" s="4"/>
      <c r="G1" s="4" t="s">
        <v>288</v>
      </c>
      <c r="H1" s="4"/>
      <c r="I1" s="9" t="s">
        <v>437</v>
      </c>
    </row>
    <row r="2" spans="1:9" x14ac:dyDescent="0.25">
      <c r="A2" s="9" t="s">
        <v>495</v>
      </c>
      <c r="B2" s="1" t="s">
        <v>121</v>
      </c>
      <c r="C2" s="1">
        <v>2</v>
      </c>
      <c r="D2" s="1" t="s">
        <v>194</v>
      </c>
      <c r="E2" s="4" t="s">
        <v>431</v>
      </c>
      <c r="F2" s="4"/>
      <c r="G2" s="4" t="s">
        <v>288</v>
      </c>
      <c r="H2" s="4"/>
      <c r="I2" s="9" t="s">
        <v>434</v>
      </c>
    </row>
    <row r="3" spans="1:9" x14ac:dyDescent="0.25">
      <c r="A3" s="13" t="s">
        <v>496</v>
      </c>
      <c r="B3" s="1" t="s">
        <v>121</v>
      </c>
      <c r="C3" s="1">
        <v>3</v>
      </c>
      <c r="D3" s="1" t="s">
        <v>194</v>
      </c>
      <c r="E3" s="3" t="s">
        <v>273</v>
      </c>
      <c r="F3" s="3"/>
      <c r="G3" s="3" t="s">
        <v>276</v>
      </c>
      <c r="H3" s="3"/>
      <c r="I3" s="13" t="s">
        <v>274</v>
      </c>
    </row>
    <row r="4" spans="1:9" x14ac:dyDescent="0.25">
      <c r="A4" s="13" t="s">
        <v>494</v>
      </c>
      <c r="B4" s="1" t="s">
        <v>121</v>
      </c>
      <c r="C4" s="1">
        <v>4</v>
      </c>
      <c r="D4" s="1" t="s">
        <v>194</v>
      </c>
      <c r="E4" s="3" t="s">
        <v>73</v>
      </c>
      <c r="F4" s="3"/>
      <c r="G4" s="3" t="s">
        <v>276</v>
      </c>
      <c r="H4" s="3"/>
      <c r="I4" s="13" t="s">
        <v>277</v>
      </c>
    </row>
    <row r="5" spans="1:9" x14ac:dyDescent="0.25">
      <c r="A5" s="13" t="s">
        <v>679</v>
      </c>
      <c r="B5" s="1" t="s">
        <v>121</v>
      </c>
      <c r="C5" s="1">
        <v>5</v>
      </c>
      <c r="D5" s="1" t="s">
        <v>194</v>
      </c>
      <c r="E5" s="3" t="s">
        <v>275</v>
      </c>
      <c r="F5" s="3"/>
      <c r="G5" s="3" t="s">
        <v>276</v>
      </c>
      <c r="H5" s="3"/>
      <c r="I5" s="13" t="s">
        <v>409</v>
      </c>
    </row>
    <row r="6" spans="1:9" x14ac:dyDescent="0.25">
      <c r="A6" s="13" t="s">
        <v>497</v>
      </c>
      <c r="B6" s="1" t="s">
        <v>121</v>
      </c>
      <c r="C6" s="1">
        <v>6</v>
      </c>
      <c r="D6" s="1" t="s">
        <v>194</v>
      </c>
      <c r="E6" s="3" t="s">
        <v>68</v>
      </c>
      <c r="F6" s="3"/>
      <c r="G6" s="3" t="s">
        <v>276</v>
      </c>
      <c r="H6" s="3"/>
      <c r="I6" s="13" t="s">
        <v>270</v>
      </c>
    </row>
    <row r="7" spans="1:9" x14ac:dyDescent="0.25">
      <c r="A7" s="13" t="s">
        <v>498</v>
      </c>
      <c r="B7" s="1" t="s">
        <v>121</v>
      </c>
      <c r="C7" s="1">
        <v>7</v>
      </c>
      <c r="D7" s="1" t="s">
        <v>194</v>
      </c>
      <c r="E7" s="3" t="s">
        <v>69</v>
      </c>
      <c r="F7" s="3"/>
      <c r="G7" s="3" t="s">
        <v>276</v>
      </c>
      <c r="H7" s="3"/>
      <c r="I7" s="13" t="s">
        <v>279</v>
      </c>
    </row>
    <row r="8" spans="1:9" x14ac:dyDescent="0.25">
      <c r="A8" s="13" t="s">
        <v>499</v>
      </c>
      <c r="B8" s="1" t="s">
        <v>121</v>
      </c>
      <c r="C8" s="1">
        <v>8</v>
      </c>
      <c r="D8" s="1" t="s">
        <v>194</v>
      </c>
      <c r="E8" s="3" t="s">
        <v>70</v>
      </c>
      <c r="F8" s="3"/>
      <c r="G8" s="3" t="s">
        <v>276</v>
      </c>
      <c r="H8" s="3"/>
      <c r="I8" s="13" t="s">
        <v>280</v>
      </c>
    </row>
    <row r="9" spans="1:9" x14ac:dyDescent="0.25">
      <c r="A9" s="13" t="s">
        <v>500</v>
      </c>
      <c r="B9" s="1" t="s">
        <v>121</v>
      </c>
      <c r="C9" s="1">
        <v>9</v>
      </c>
      <c r="D9" s="1" t="s">
        <v>194</v>
      </c>
      <c r="E9" s="3" t="s">
        <v>291</v>
      </c>
      <c r="F9" s="3"/>
      <c r="G9" s="3" t="s">
        <v>276</v>
      </c>
      <c r="H9" s="3"/>
      <c r="I9" s="13" t="s">
        <v>281</v>
      </c>
    </row>
    <row r="10" spans="1:9" x14ac:dyDescent="0.25">
      <c r="A10" s="13" t="s">
        <v>501</v>
      </c>
      <c r="B10" s="1" t="s">
        <v>121</v>
      </c>
      <c r="C10" s="1">
        <v>10</v>
      </c>
      <c r="D10" s="1" t="s">
        <v>194</v>
      </c>
      <c r="E10" s="3" t="s">
        <v>283</v>
      </c>
      <c r="F10" s="3"/>
      <c r="G10" s="3" t="s">
        <v>276</v>
      </c>
      <c r="H10" s="3"/>
      <c r="I10" s="13" t="s">
        <v>282</v>
      </c>
    </row>
    <row r="11" spans="1:9" x14ac:dyDescent="0.25">
      <c r="A11" s="13" t="s">
        <v>502</v>
      </c>
      <c r="B11" s="1" t="s">
        <v>121</v>
      </c>
      <c r="C11" s="1">
        <v>11</v>
      </c>
      <c r="D11" s="1" t="s">
        <v>194</v>
      </c>
      <c r="E11" s="3" t="s">
        <v>72</v>
      </c>
      <c r="F11" s="3"/>
      <c r="G11" s="3" t="s">
        <v>276</v>
      </c>
      <c r="H11" s="3"/>
      <c r="I11" s="13" t="s">
        <v>362</v>
      </c>
    </row>
    <row r="12" spans="1:9" x14ac:dyDescent="0.25">
      <c r="A12" s="13" t="s">
        <v>503</v>
      </c>
      <c r="B12" s="1" t="s">
        <v>121</v>
      </c>
      <c r="C12" s="1">
        <v>12</v>
      </c>
      <c r="D12" s="1" t="s">
        <v>194</v>
      </c>
      <c r="E12" s="3" t="s">
        <v>71</v>
      </c>
      <c r="F12" s="3"/>
      <c r="G12" s="3" t="s">
        <v>276</v>
      </c>
      <c r="H12" s="3"/>
      <c r="I12" s="13" t="s">
        <v>363</v>
      </c>
    </row>
    <row r="13" spans="1:9" x14ac:dyDescent="0.25">
      <c r="A13" s="13" t="s">
        <v>504</v>
      </c>
      <c r="B13" s="1" t="s">
        <v>121</v>
      </c>
      <c r="C13" s="1">
        <v>13</v>
      </c>
      <c r="D13" s="1" t="s">
        <v>194</v>
      </c>
      <c r="E13" s="3" t="s">
        <v>80</v>
      </c>
      <c r="F13" s="3"/>
      <c r="G13" s="3" t="s">
        <v>276</v>
      </c>
      <c r="H13" s="3"/>
      <c r="I13" s="13" t="s">
        <v>350</v>
      </c>
    </row>
    <row r="14" spans="1:9" x14ac:dyDescent="0.25">
      <c r="A14" s="13" t="s">
        <v>505</v>
      </c>
      <c r="B14" s="1" t="s">
        <v>121</v>
      </c>
      <c r="C14" s="1">
        <v>14</v>
      </c>
      <c r="D14" s="1" t="s">
        <v>194</v>
      </c>
      <c r="E14" s="3" t="s">
        <v>81</v>
      </c>
      <c r="F14" s="3"/>
      <c r="G14" s="3" t="s">
        <v>276</v>
      </c>
      <c r="H14" s="3"/>
      <c r="I14" s="13" t="s">
        <v>351</v>
      </c>
    </row>
    <row r="15" spans="1:9" x14ac:dyDescent="0.25">
      <c r="A15" s="13" t="s">
        <v>506</v>
      </c>
      <c r="B15" s="1" t="s">
        <v>121</v>
      </c>
      <c r="C15" s="1">
        <v>15</v>
      </c>
      <c r="D15" s="1" t="s">
        <v>194</v>
      </c>
      <c r="E15" s="3" t="s">
        <v>82</v>
      </c>
      <c r="F15" s="3"/>
      <c r="G15" s="3" t="s">
        <v>276</v>
      </c>
      <c r="H15" s="3"/>
      <c r="I15" s="13" t="s">
        <v>352</v>
      </c>
    </row>
    <row r="16" spans="1:9" x14ac:dyDescent="0.25">
      <c r="A16" s="13" t="s">
        <v>507</v>
      </c>
      <c r="B16" s="1" t="s">
        <v>121</v>
      </c>
      <c r="C16" s="1">
        <v>16</v>
      </c>
      <c r="D16" s="1" t="s">
        <v>194</v>
      </c>
      <c r="E16" s="3" t="s">
        <v>284</v>
      </c>
      <c r="F16" s="3"/>
      <c r="G16" s="3" t="s">
        <v>276</v>
      </c>
      <c r="H16" s="3"/>
      <c r="I16" s="13" t="s">
        <v>353</v>
      </c>
    </row>
    <row r="17" spans="1:9" x14ac:dyDescent="0.25">
      <c r="A17" s="13" t="s">
        <v>508</v>
      </c>
      <c r="B17" s="1" t="s">
        <v>121</v>
      </c>
      <c r="C17" s="1">
        <v>17</v>
      </c>
      <c r="D17" s="1" t="s">
        <v>194</v>
      </c>
      <c r="E17" s="3" t="s">
        <v>285</v>
      </c>
      <c r="F17" s="3"/>
      <c r="G17" s="3" t="s">
        <v>276</v>
      </c>
      <c r="H17" s="3"/>
      <c r="I17" s="13" t="s">
        <v>354</v>
      </c>
    </row>
    <row r="18" spans="1:9" x14ac:dyDescent="0.25">
      <c r="A18" s="13" t="s">
        <v>509</v>
      </c>
      <c r="B18" s="1" t="s">
        <v>121</v>
      </c>
      <c r="C18" s="1">
        <v>18</v>
      </c>
      <c r="D18" s="1" t="s">
        <v>194</v>
      </c>
      <c r="E18" s="3" t="s">
        <v>286</v>
      </c>
      <c r="F18" s="3"/>
      <c r="G18" s="3" t="s">
        <v>276</v>
      </c>
      <c r="H18" s="3"/>
      <c r="I18" s="13" t="s">
        <v>355</v>
      </c>
    </row>
    <row r="19" spans="1:9" x14ac:dyDescent="0.25">
      <c r="A19" s="13" t="s">
        <v>510</v>
      </c>
      <c r="B19" s="1" t="s">
        <v>121</v>
      </c>
      <c r="C19" s="1">
        <v>19</v>
      </c>
      <c r="D19" s="1" t="s">
        <v>194</v>
      </c>
      <c r="E19" s="3" t="s">
        <v>74</v>
      </c>
      <c r="F19" s="3"/>
      <c r="G19" s="3" t="s">
        <v>276</v>
      </c>
      <c r="H19" s="3"/>
      <c r="I19" s="13" t="s">
        <v>356</v>
      </c>
    </row>
    <row r="20" spans="1:9" x14ac:dyDescent="0.25">
      <c r="A20" s="13" t="s">
        <v>511</v>
      </c>
      <c r="B20" s="1" t="s">
        <v>121</v>
      </c>
      <c r="C20" s="1">
        <v>20</v>
      </c>
      <c r="D20" s="1" t="s">
        <v>194</v>
      </c>
      <c r="E20" s="3" t="s">
        <v>75</v>
      </c>
      <c r="F20" s="3"/>
      <c r="G20" s="3" t="s">
        <v>276</v>
      </c>
      <c r="H20" s="3"/>
      <c r="I20" s="13" t="s">
        <v>357</v>
      </c>
    </row>
    <row r="21" spans="1:9" x14ac:dyDescent="0.25">
      <c r="A21" s="13" t="s">
        <v>512</v>
      </c>
      <c r="B21" s="1" t="s">
        <v>121</v>
      </c>
      <c r="C21" s="1">
        <v>21</v>
      </c>
      <c r="D21" s="1" t="s">
        <v>194</v>
      </c>
      <c r="E21" s="3" t="s">
        <v>76</v>
      </c>
      <c r="F21" s="3"/>
      <c r="G21" s="3" t="s">
        <v>276</v>
      </c>
      <c r="H21" s="3"/>
      <c r="I21" s="13" t="s">
        <v>358</v>
      </c>
    </row>
    <row r="22" spans="1:9" x14ac:dyDescent="0.25">
      <c r="A22" s="13" t="s">
        <v>513</v>
      </c>
      <c r="B22" s="1" t="s">
        <v>121</v>
      </c>
      <c r="C22" s="1">
        <v>22</v>
      </c>
      <c r="D22" s="1" t="s">
        <v>194</v>
      </c>
      <c r="E22" s="3" t="s">
        <v>77</v>
      </c>
      <c r="F22" s="3"/>
      <c r="G22" s="3" t="s">
        <v>276</v>
      </c>
      <c r="H22" s="3"/>
      <c r="I22" s="13" t="s">
        <v>359</v>
      </c>
    </row>
    <row r="23" spans="1:9" x14ac:dyDescent="0.25">
      <c r="A23" s="13" t="s">
        <v>514</v>
      </c>
      <c r="B23" s="1" t="s">
        <v>121</v>
      </c>
      <c r="C23" s="1">
        <v>23</v>
      </c>
      <c r="D23" s="1" t="s">
        <v>194</v>
      </c>
      <c r="E23" s="3" t="s">
        <v>78</v>
      </c>
      <c r="F23" s="3"/>
      <c r="G23" s="3" t="s">
        <v>276</v>
      </c>
      <c r="H23" s="3"/>
      <c r="I23" s="13" t="s">
        <v>360</v>
      </c>
    </row>
    <row r="24" spans="1:9" x14ac:dyDescent="0.25">
      <c r="A24" s="13" t="s">
        <v>515</v>
      </c>
      <c r="B24" s="1" t="s">
        <v>121</v>
      </c>
      <c r="C24" s="1">
        <v>24</v>
      </c>
      <c r="D24" s="1" t="s">
        <v>194</v>
      </c>
      <c r="E24" s="3" t="s">
        <v>79</v>
      </c>
      <c r="F24" s="3"/>
      <c r="G24" s="3" t="s">
        <v>276</v>
      </c>
      <c r="H24" s="3"/>
      <c r="I24" s="13" t="s">
        <v>361</v>
      </c>
    </row>
    <row r="25" spans="1:9" x14ac:dyDescent="0.25">
      <c r="A25" s="13" t="s">
        <v>680</v>
      </c>
      <c r="B25" s="1" t="s">
        <v>121</v>
      </c>
      <c r="C25" s="1">
        <v>25</v>
      </c>
      <c r="D25" s="1" t="s">
        <v>194</v>
      </c>
      <c r="E25" s="3" t="s">
        <v>287</v>
      </c>
      <c r="F25" s="3"/>
      <c r="G25" s="3" t="s">
        <v>276</v>
      </c>
      <c r="H25" s="3"/>
      <c r="I25" s="13" t="s">
        <v>409</v>
      </c>
    </row>
    <row r="26" spans="1:9" x14ac:dyDescent="0.25">
      <c r="A26" s="13" t="s">
        <v>516</v>
      </c>
      <c r="B26" s="1" t="s">
        <v>121</v>
      </c>
      <c r="C26" s="1">
        <v>26</v>
      </c>
      <c r="D26" s="1" t="s">
        <v>194</v>
      </c>
      <c r="E26" s="3" t="s">
        <v>128</v>
      </c>
      <c r="F26" s="3"/>
      <c r="G26" s="3" t="s">
        <v>276</v>
      </c>
      <c r="H26" s="3"/>
      <c r="I26" s="13" t="s">
        <v>365</v>
      </c>
    </row>
    <row r="27" spans="1:9" x14ac:dyDescent="0.25">
      <c r="A27" s="13" t="s">
        <v>517</v>
      </c>
      <c r="B27" s="1" t="s">
        <v>121</v>
      </c>
      <c r="C27" s="1">
        <v>27</v>
      </c>
      <c r="D27" s="1" t="s">
        <v>194</v>
      </c>
      <c r="E27" s="3" t="s">
        <v>128</v>
      </c>
      <c r="F27" s="3"/>
      <c r="G27" s="3" t="s">
        <v>276</v>
      </c>
      <c r="H27" s="3"/>
      <c r="I27" s="13" t="s">
        <v>364</v>
      </c>
    </row>
    <row r="28" spans="1:9" x14ac:dyDescent="0.25">
      <c r="A28" s="9" t="s">
        <v>518</v>
      </c>
      <c r="B28" s="1" t="s">
        <v>121</v>
      </c>
      <c r="C28" s="1">
        <v>28</v>
      </c>
      <c r="D28" s="1" t="s">
        <v>194</v>
      </c>
      <c r="E28" s="4" t="s">
        <v>273</v>
      </c>
      <c r="F28" s="4"/>
      <c r="G28" s="4" t="s">
        <v>389</v>
      </c>
      <c r="H28" s="4"/>
      <c r="I28" s="9" t="s">
        <v>274</v>
      </c>
    </row>
    <row r="29" spans="1:9" x14ac:dyDescent="0.25">
      <c r="A29" s="9" t="s">
        <v>519</v>
      </c>
      <c r="B29" s="1" t="s">
        <v>121</v>
      </c>
      <c r="C29" s="1">
        <v>29</v>
      </c>
      <c r="D29" s="1" t="s">
        <v>194</v>
      </c>
      <c r="E29" s="4" t="s">
        <v>73</v>
      </c>
      <c r="F29" s="4"/>
      <c r="G29" s="4" t="s">
        <v>276</v>
      </c>
      <c r="H29" s="4"/>
      <c r="I29" s="9" t="s">
        <v>277</v>
      </c>
    </row>
    <row r="30" spans="1:9" x14ac:dyDescent="0.25">
      <c r="A30" s="9" t="s">
        <v>681</v>
      </c>
      <c r="B30" s="1" t="s">
        <v>121</v>
      </c>
      <c r="C30" s="1">
        <v>30</v>
      </c>
      <c r="D30" s="1" t="s">
        <v>194</v>
      </c>
      <c r="E30" s="4" t="s">
        <v>275</v>
      </c>
      <c r="F30" s="4"/>
      <c r="G30" s="4" t="s">
        <v>276</v>
      </c>
      <c r="H30" s="4"/>
      <c r="I30" s="9" t="s">
        <v>278</v>
      </c>
    </row>
    <row r="31" spans="1:9" x14ac:dyDescent="0.25">
      <c r="A31" s="9" t="s">
        <v>520</v>
      </c>
      <c r="B31" s="1" t="s">
        <v>121</v>
      </c>
      <c r="C31" s="1">
        <v>31</v>
      </c>
      <c r="D31" s="1" t="s">
        <v>194</v>
      </c>
      <c r="E31" s="4" t="s">
        <v>68</v>
      </c>
      <c r="F31" s="4"/>
      <c r="G31" s="4" t="s">
        <v>389</v>
      </c>
      <c r="H31" s="4"/>
      <c r="I31" s="9" t="s">
        <v>270</v>
      </c>
    </row>
    <row r="32" spans="1:9" x14ac:dyDescent="0.25">
      <c r="A32" s="9" t="s">
        <v>521</v>
      </c>
      <c r="B32" s="1" t="s">
        <v>121</v>
      </c>
      <c r="C32" s="1">
        <v>32</v>
      </c>
      <c r="D32" s="1" t="s">
        <v>194</v>
      </c>
      <c r="E32" s="4" t="s">
        <v>69</v>
      </c>
      <c r="F32" s="4"/>
      <c r="G32" s="4" t="s">
        <v>389</v>
      </c>
      <c r="H32" s="4"/>
      <c r="I32" s="9" t="s">
        <v>279</v>
      </c>
    </row>
    <row r="33" spans="1:9" x14ac:dyDescent="0.25">
      <c r="A33" s="9" t="s">
        <v>522</v>
      </c>
      <c r="B33" s="1" t="s">
        <v>121</v>
      </c>
      <c r="C33" s="1">
        <v>33</v>
      </c>
      <c r="D33" s="1" t="s">
        <v>194</v>
      </c>
      <c r="E33" s="4" t="s">
        <v>70</v>
      </c>
      <c r="F33" s="4"/>
      <c r="G33" s="4" t="s">
        <v>389</v>
      </c>
      <c r="H33" s="4"/>
      <c r="I33" s="9" t="s">
        <v>280</v>
      </c>
    </row>
    <row r="34" spans="1:9" x14ac:dyDescent="0.25">
      <c r="A34" s="9" t="s">
        <v>523</v>
      </c>
      <c r="B34" s="1" t="s">
        <v>121</v>
      </c>
      <c r="C34" s="1">
        <v>34</v>
      </c>
      <c r="D34" s="1" t="s">
        <v>194</v>
      </c>
      <c r="E34" s="4" t="s">
        <v>291</v>
      </c>
      <c r="F34" s="4"/>
      <c r="G34" s="4" t="s">
        <v>389</v>
      </c>
      <c r="H34" s="4"/>
      <c r="I34" s="9" t="s">
        <v>281</v>
      </c>
    </row>
    <row r="35" spans="1:9" x14ac:dyDescent="0.25">
      <c r="A35" s="9" t="s">
        <v>524</v>
      </c>
      <c r="B35" s="1" t="s">
        <v>121</v>
      </c>
      <c r="C35" s="1">
        <v>35</v>
      </c>
      <c r="D35" s="1" t="s">
        <v>194</v>
      </c>
      <c r="E35" s="4" t="s">
        <v>283</v>
      </c>
      <c r="F35" s="4"/>
      <c r="G35" s="4" t="s">
        <v>389</v>
      </c>
      <c r="H35" s="4"/>
      <c r="I35" s="9" t="s">
        <v>282</v>
      </c>
    </row>
    <row r="36" spans="1:9" x14ac:dyDescent="0.25">
      <c r="A36" s="9" t="s">
        <v>525</v>
      </c>
      <c r="B36" s="1" t="s">
        <v>121</v>
      </c>
      <c r="C36" s="1">
        <v>36</v>
      </c>
      <c r="D36" s="1" t="s">
        <v>194</v>
      </c>
      <c r="E36" s="4" t="s">
        <v>72</v>
      </c>
      <c r="F36" s="4"/>
      <c r="G36" s="4" t="s">
        <v>389</v>
      </c>
      <c r="H36" s="4"/>
      <c r="I36" s="9" t="s">
        <v>362</v>
      </c>
    </row>
    <row r="37" spans="1:9" x14ac:dyDescent="0.25">
      <c r="A37" s="9" t="s">
        <v>526</v>
      </c>
      <c r="B37" s="1" t="s">
        <v>121</v>
      </c>
      <c r="C37" s="1">
        <v>37</v>
      </c>
      <c r="D37" s="1" t="s">
        <v>194</v>
      </c>
      <c r="E37" s="4" t="s">
        <v>71</v>
      </c>
      <c r="F37" s="4"/>
      <c r="G37" s="4" t="s">
        <v>389</v>
      </c>
      <c r="H37" s="4"/>
      <c r="I37" s="9" t="s">
        <v>363</v>
      </c>
    </row>
    <row r="38" spans="1:9" x14ac:dyDescent="0.25">
      <c r="A38" s="9" t="s">
        <v>527</v>
      </c>
      <c r="B38" s="1" t="s">
        <v>121</v>
      </c>
      <c r="C38" s="1">
        <v>38</v>
      </c>
      <c r="D38" s="1" t="s">
        <v>194</v>
      </c>
      <c r="E38" s="4" t="s">
        <v>80</v>
      </c>
      <c r="F38" s="4"/>
      <c r="G38" s="4" t="s">
        <v>389</v>
      </c>
      <c r="H38" s="4"/>
      <c r="I38" s="9" t="s">
        <v>350</v>
      </c>
    </row>
    <row r="39" spans="1:9" x14ac:dyDescent="0.25">
      <c r="A39" s="9" t="s">
        <v>528</v>
      </c>
      <c r="B39" s="1" t="s">
        <v>121</v>
      </c>
      <c r="C39" s="1">
        <v>39</v>
      </c>
      <c r="D39" s="1" t="s">
        <v>194</v>
      </c>
      <c r="E39" s="4" t="s">
        <v>81</v>
      </c>
      <c r="F39" s="4"/>
      <c r="G39" s="4" t="s">
        <v>389</v>
      </c>
      <c r="H39" s="4"/>
      <c r="I39" s="9" t="s">
        <v>351</v>
      </c>
    </row>
    <row r="40" spans="1:9" x14ac:dyDescent="0.25">
      <c r="A40" s="9" t="s">
        <v>529</v>
      </c>
      <c r="B40" s="1" t="s">
        <v>121</v>
      </c>
      <c r="C40" s="1">
        <v>40</v>
      </c>
      <c r="D40" s="1" t="s">
        <v>194</v>
      </c>
      <c r="E40" s="4" t="s">
        <v>82</v>
      </c>
      <c r="F40" s="4"/>
      <c r="G40" s="4" t="s">
        <v>389</v>
      </c>
      <c r="H40" s="4"/>
      <c r="I40" s="9" t="s">
        <v>352</v>
      </c>
    </row>
    <row r="41" spans="1:9" x14ac:dyDescent="0.25">
      <c r="A41" s="9" t="s">
        <v>530</v>
      </c>
      <c r="B41" s="1" t="s">
        <v>121</v>
      </c>
      <c r="C41" s="1">
        <v>41</v>
      </c>
      <c r="D41" s="1" t="s">
        <v>194</v>
      </c>
      <c r="E41" s="4" t="s">
        <v>284</v>
      </c>
      <c r="F41" s="4"/>
      <c r="G41" s="4" t="s">
        <v>389</v>
      </c>
      <c r="H41" s="4"/>
      <c r="I41" s="9" t="s">
        <v>353</v>
      </c>
    </row>
    <row r="42" spans="1:9" x14ac:dyDescent="0.25">
      <c r="A42" s="9" t="s">
        <v>531</v>
      </c>
      <c r="B42" s="1" t="s">
        <v>121</v>
      </c>
      <c r="C42" s="1">
        <v>42</v>
      </c>
      <c r="D42" s="1" t="s">
        <v>194</v>
      </c>
      <c r="E42" s="4" t="s">
        <v>285</v>
      </c>
      <c r="F42" s="4"/>
      <c r="G42" s="4" t="s">
        <v>389</v>
      </c>
      <c r="H42" s="4"/>
      <c r="I42" s="9" t="s">
        <v>354</v>
      </c>
    </row>
    <row r="43" spans="1:9" x14ac:dyDescent="0.25">
      <c r="A43" s="9" t="s">
        <v>532</v>
      </c>
      <c r="B43" s="1" t="s">
        <v>121</v>
      </c>
      <c r="C43" s="1">
        <v>43</v>
      </c>
      <c r="D43" s="1" t="s">
        <v>194</v>
      </c>
      <c r="E43" s="4" t="s">
        <v>286</v>
      </c>
      <c r="F43" s="4"/>
      <c r="G43" s="4" t="s">
        <v>389</v>
      </c>
      <c r="H43" s="4"/>
      <c r="I43" s="9" t="s">
        <v>355</v>
      </c>
    </row>
    <row r="44" spans="1:9" x14ac:dyDescent="0.25">
      <c r="A44" s="9" t="s">
        <v>533</v>
      </c>
      <c r="B44" s="1" t="s">
        <v>121</v>
      </c>
      <c r="C44" s="1">
        <v>44</v>
      </c>
      <c r="D44" s="1" t="s">
        <v>194</v>
      </c>
      <c r="E44" s="4" t="s">
        <v>74</v>
      </c>
      <c r="F44" s="4"/>
      <c r="G44" s="4" t="s">
        <v>389</v>
      </c>
      <c r="H44" s="4"/>
      <c r="I44" s="9" t="s">
        <v>356</v>
      </c>
    </row>
    <row r="45" spans="1:9" x14ac:dyDescent="0.25">
      <c r="A45" s="9" t="s">
        <v>534</v>
      </c>
      <c r="B45" s="1" t="s">
        <v>121</v>
      </c>
      <c r="C45" s="1">
        <v>45</v>
      </c>
      <c r="D45" s="1" t="s">
        <v>194</v>
      </c>
      <c r="E45" s="4" t="s">
        <v>75</v>
      </c>
      <c r="F45" s="4"/>
      <c r="G45" s="4" t="s">
        <v>389</v>
      </c>
      <c r="H45" s="4"/>
      <c r="I45" s="9" t="s">
        <v>357</v>
      </c>
    </row>
    <row r="46" spans="1:9" x14ac:dyDescent="0.25">
      <c r="A46" s="9" t="s">
        <v>535</v>
      </c>
      <c r="B46" s="1" t="s">
        <v>121</v>
      </c>
      <c r="C46" s="1">
        <v>46</v>
      </c>
      <c r="D46" s="1" t="s">
        <v>194</v>
      </c>
      <c r="E46" s="4" t="s">
        <v>76</v>
      </c>
      <c r="F46" s="4"/>
      <c r="G46" s="4" t="s">
        <v>389</v>
      </c>
      <c r="H46" s="4"/>
      <c r="I46" s="9" t="s">
        <v>358</v>
      </c>
    </row>
    <row r="47" spans="1:9" x14ac:dyDescent="0.25">
      <c r="A47" s="9" t="s">
        <v>536</v>
      </c>
      <c r="B47" s="1" t="s">
        <v>121</v>
      </c>
      <c r="C47" s="1">
        <v>47</v>
      </c>
      <c r="D47" s="1" t="s">
        <v>194</v>
      </c>
      <c r="E47" s="4" t="s">
        <v>77</v>
      </c>
      <c r="F47" s="4"/>
      <c r="G47" s="4" t="s">
        <v>389</v>
      </c>
      <c r="H47" s="4"/>
      <c r="I47" s="9" t="s">
        <v>359</v>
      </c>
    </row>
    <row r="48" spans="1:9" x14ac:dyDescent="0.25">
      <c r="A48" s="9" t="s">
        <v>537</v>
      </c>
      <c r="B48" s="1" t="s">
        <v>121</v>
      </c>
      <c r="C48" s="1">
        <v>48</v>
      </c>
      <c r="D48" s="1" t="s">
        <v>194</v>
      </c>
      <c r="E48" s="4" t="s">
        <v>78</v>
      </c>
      <c r="F48" s="4"/>
      <c r="G48" s="4" t="s">
        <v>389</v>
      </c>
      <c r="H48" s="4"/>
      <c r="I48" s="9" t="s">
        <v>360</v>
      </c>
    </row>
    <row r="49" spans="1:9" x14ac:dyDescent="0.25">
      <c r="A49" s="9" t="s">
        <v>538</v>
      </c>
      <c r="B49" s="1" t="s">
        <v>121</v>
      </c>
      <c r="C49" s="1">
        <v>49</v>
      </c>
      <c r="D49" s="1" t="s">
        <v>194</v>
      </c>
      <c r="E49" s="4" t="s">
        <v>79</v>
      </c>
      <c r="F49" s="4"/>
      <c r="G49" s="4" t="s">
        <v>389</v>
      </c>
      <c r="H49" s="4"/>
      <c r="I49" s="9" t="s">
        <v>361</v>
      </c>
    </row>
    <row r="50" spans="1:9" x14ac:dyDescent="0.25">
      <c r="A50" s="9" t="s">
        <v>682</v>
      </c>
      <c r="B50" s="1" t="s">
        <v>121</v>
      </c>
      <c r="C50" s="1">
        <v>50</v>
      </c>
      <c r="D50" s="1" t="s">
        <v>194</v>
      </c>
      <c r="E50" s="4" t="s">
        <v>287</v>
      </c>
      <c r="F50" s="4"/>
      <c r="G50" s="4" t="s">
        <v>276</v>
      </c>
      <c r="H50" s="4"/>
      <c r="I50" s="9" t="s">
        <v>409</v>
      </c>
    </row>
    <row r="51" spans="1:9" x14ac:dyDescent="0.25">
      <c r="A51" s="9" t="s">
        <v>539</v>
      </c>
      <c r="B51" s="1" t="s">
        <v>121</v>
      </c>
      <c r="C51" s="1">
        <v>51</v>
      </c>
      <c r="D51" s="1" t="s">
        <v>194</v>
      </c>
      <c r="E51" s="4" t="s">
        <v>128</v>
      </c>
      <c r="F51" s="4"/>
      <c r="G51" s="4" t="s">
        <v>276</v>
      </c>
      <c r="H51" s="4"/>
      <c r="I51" s="9" t="s">
        <v>365</v>
      </c>
    </row>
    <row r="52" spans="1:9" x14ac:dyDescent="0.25">
      <c r="A52" s="9" t="s">
        <v>540</v>
      </c>
      <c r="B52" s="1" t="s">
        <v>121</v>
      </c>
      <c r="C52" s="1">
        <v>52</v>
      </c>
      <c r="D52" s="1" t="s">
        <v>194</v>
      </c>
      <c r="E52" s="4" t="s">
        <v>128</v>
      </c>
      <c r="F52" s="4"/>
      <c r="G52" s="4" t="s">
        <v>389</v>
      </c>
      <c r="H52" s="4"/>
      <c r="I52" s="9" t="s">
        <v>364</v>
      </c>
    </row>
    <row r="53" spans="1:9" x14ac:dyDescent="0.25">
      <c r="A53" s="15" t="s">
        <v>541</v>
      </c>
      <c r="B53" s="1" t="s">
        <v>121</v>
      </c>
      <c r="C53" s="1">
        <v>53</v>
      </c>
      <c r="D53" s="1" t="s">
        <v>194</v>
      </c>
      <c r="E53" s="14" t="s">
        <v>247</v>
      </c>
      <c r="F53" s="14"/>
      <c r="G53" s="14" t="s">
        <v>288</v>
      </c>
      <c r="H53" s="19" t="s">
        <v>293</v>
      </c>
      <c r="I53" s="15" t="s">
        <v>292</v>
      </c>
    </row>
    <row r="54" spans="1:9" x14ac:dyDescent="0.25">
      <c r="A54" s="15" t="s">
        <v>542</v>
      </c>
      <c r="B54" s="1" t="s">
        <v>121</v>
      </c>
      <c r="C54" s="1">
        <v>54</v>
      </c>
      <c r="D54" s="1" t="s">
        <v>194</v>
      </c>
      <c r="E54" s="14" t="s">
        <v>247</v>
      </c>
      <c r="F54" s="14"/>
      <c r="G54" s="14" t="s">
        <v>288</v>
      </c>
      <c r="H54" s="19" t="s">
        <v>293</v>
      </c>
      <c r="I54" s="15" t="s">
        <v>292</v>
      </c>
    </row>
    <row r="55" spans="1:9" x14ac:dyDescent="0.25">
      <c r="A55" s="15" t="s">
        <v>543</v>
      </c>
      <c r="B55" s="1" t="s">
        <v>121</v>
      </c>
      <c r="C55" s="1">
        <v>55</v>
      </c>
      <c r="D55" s="1" t="s">
        <v>194</v>
      </c>
      <c r="E55" s="14" t="s">
        <v>247</v>
      </c>
      <c r="F55" s="14"/>
      <c r="G55" s="14" t="s">
        <v>288</v>
      </c>
      <c r="H55" s="19" t="s">
        <v>293</v>
      </c>
      <c r="I55" s="15" t="s">
        <v>292</v>
      </c>
    </row>
    <row r="56" spans="1:9" x14ac:dyDescent="0.25">
      <c r="A56" s="15" t="s">
        <v>544</v>
      </c>
      <c r="B56" s="1" t="s">
        <v>121</v>
      </c>
      <c r="C56" s="1">
        <v>56</v>
      </c>
      <c r="D56" s="1" t="s">
        <v>194</v>
      </c>
      <c r="E56" s="14" t="s">
        <v>247</v>
      </c>
      <c r="F56" s="14"/>
      <c r="G56" s="14" t="s">
        <v>288</v>
      </c>
      <c r="H56" s="19" t="s">
        <v>293</v>
      </c>
      <c r="I56" s="15" t="s">
        <v>292</v>
      </c>
    </row>
    <row r="57" spans="1:9" x14ac:dyDescent="0.25">
      <c r="A57" s="15" t="s">
        <v>545</v>
      </c>
      <c r="B57" s="1" t="s">
        <v>121</v>
      </c>
      <c r="C57" s="1">
        <v>57</v>
      </c>
      <c r="D57" s="1" t="s">
        <v>194</v>
      </c>
      <c r="E57" s="14" t="s">
        <v>247</v>
      </c>
      <c r="F57" s="14"/>
      <c r="G57" s="14" t="s">
        <v>288</v>
      </c>
      <c r="H57" s="19" t="s">
        <v>293</v>
      </c>
      <c r="I57" s="15" t="s">
        <v>292</v>
      </c>
    </row>
    <row r="58" spans="1:9" x14ac:dyDescent="0.25">
      <c r="A58" s="15" t="s">
        <v>546</v>
      </c>
      <c r="B58" s="1" t="s">
        <v>121</v>
      </c>
      <c r="C58" s="1">
        <v>58</v>
      </c>
      <c r="D58" s="1" t="s">
        <v>194</v>
      </c>
      <c r="E58" s="14" t="s">
        <v>247</v>
      </c>
      <c r="F58" s="14"/>
      <c r="G58" s="14" t="s">
        <v>288</v>
      </c>
      <c r="H58" s="19" t="s">
        <v>293</v>
      </c>
      <c r="I58" s="15" t="s">
        <v>292</v>
      </c>
    </row>
    <row r="59" spans="1:9" x14ac:dyDescent="0.25">
      <c r="A59" s="15" t="s">
        <v>547</v>
      </c>
      <c r="B59" s="1" t="s">
        <v>121</v>
      </c>
      <c r="C59" s="1">
        <v>59</v>
      </c>
      <c r="D59" s="1" t="s">
        <v>194</v>
      </c>
      <c r="E59" s="14" t="s">
        <v>247</v>
      </c>
      <c r="F59" s="14"/>
      <c r="G59" s="14" t="s">
        <v>288</v>
      </c>
      <c r="H59" s="19" t="s">
        <v>293</v>
      </c>
      <c r="I59" s="15" t="s">
        <v>292</v>
      </c>
    </row>
    <row r="60" spans="1:9" x14ac:dyDescent="0.25">
      <c r="A60" s="15" t="s">
        <v>548</v>
      </c>
      <c r="B60" s="1" t="s">
        <v>121</v>
      </c>
      <c r="C60" s="1">
        <v>60</v>
      </c>
      <c r="D60" s="1" t="s">
        <v>194</v>
      </c>
      <c r="E60" s="14" t="s">
        <v>247</v>
      </c>
      <c r="F60" s="14"/>
      <c r="G60" s="14" t="s">
        <v>288</v>
      </c>
      <c r="H60" s="19" t="s">
        <v>293</v>
      </c>
      <c r="I60" s="15" t="s">
        <v>292</v>
      </c>
    </row>
    <row r="61" spans="1:9" x14ac:dyDescent="0.25">
      <c r="A61" s="15" t="s">
        <v>549</v>
      </c>
      <c r="B61" s="1" t="s">
        <v>121</v>
      </c>
      <c r="C61" s="1">
        <v>61</v>
      </c>
      <c r="D61" s="1" t="s">
        <v>194</v>
      </c>
      <c r="E61" s="14" t="s">
        <v>247</v>
      </c>
      <c r="F61" s="14"/>
      <c r="G61" s="14" t="s">
        <v>288</v>
      </c>
      <c r="H61" s="19" t="s">
        <v>293</v>
      </c>
      <c r="I61" s="15" t="s">
        <v>292</v>
      </c>
    </row>
    <row r="62" spans="1:9" x14ac:dyDescent="0.25">
      <c r="A62" s="15" t="s">
        <v>550</v>
      </c>
      <c r="B62" s="1" t="s">
        <v>121</v>
      </c>
      <c r="C62" s="1">
        <v>62</v>
      </c>
      <c r="D62" s="1" t="s">
        <v>194</v>
      </c>
      <c r="E62" s="14" t="s">
        <v>247</v>
      </c>
      <c r="F62" s="14"/>
      <c r="G62" s="14" t="s">
        <v>288</v>
      </c>
      <c r="H62" s="19" t="s">
        <v>293</v>
      </c>
      <c r="I62" s="15" t="s">
        <v>292</v>
      </c>
    </row>
    <row r="63" spans="1:9" x14ac:dyDescent="0.25">
      <c r="A63" s="15" t="s">
        <v>551</v>
      </c>
      <c r="B63" s="1" t="s">
        <v>121</v>
      </c>
      <c r="C63" s="1">
        <v>63</v>
      </c>
      <c r="D63" s="1" t="s">
        <v>194</v>
      </c>
      <c r="E63" s="14" t="s">
        <v>247</v>
      </c>
      <c r="F63" s="14"/>
      <c r="G63" s="14" t="s">
        <v>288</v>
      </c>
      <c r="H63" s="19" t="s">
        <v>293</v>
      </c>
      <c r="I63" s="15" t="s">
        <v>292</v>
      </c>
    </row>
    <row r="64" spans="1:9" x14ac:dyDescent="0.25">
      <c r="A64" s="15" t="s">
        <v>552</v>
      </c>
      <c r="B64" s="1" t="s">
        <v>121</v>
      </c>
      <c r="C64" s="1">
        <v>64</v>
      </c>
      <c r="D64" s="1" t="s">
        <v>194</v>
      </c>
      <c r="E64" s="14" t="s">
        <v>247</v>
      </c>
      <c r="F64" s="14"/>
      <c r="G64" s="14" t="s">
        <v>288</v>
      </c>
      <c r="H64" s="19" t="s">
        <v>293</v>
      </c>
      <c r="I64" s="15" t="s">
        <v>292</v>
      </c>
    </row>
    <row r="65" spans="1:9" x14ac:dyDescent="0.25">
      <c r="A65" s="15" t="s">
        <v>553</v>
      </c>
      <c r="B65" s="1" t="s">
        <v>121</v>
      </c>
      <c r="C65" s="1">
        <v>65</v>
      </c>
      <c r="D65" s="1" t="s">
        <v>194</v>
      </c>
      <c r="E65" s="14" t="s">
        <v>247</v>
      </c>
      <c r="F65" s="14"/>
      <c r="G65" s="14" t="s">
        <v>288</v>
      </c>
      <c r="H65" s="19" t="s">
        <v>293</v>
      </c>
      <c r="I65" s="15" t="s">
        <v>292</v>
      </c>
    </row>
    <row r="66" spans="1:9" x14ac:dyDescent="0.25">
      <c r="A66" s="15" t="s">
        <v>554</v>
      </c>
      <c r="B66" s="1" t="s">
        <v>121</v>
      </c>
      <c r="C66" s="1">
        <v>66</v>
      </c>
      <c r="D66" s="1" t="s">
        <v>194</v>
      </c>
      <c r="E66" s="14" t="s">
        <v>247</v>
      </c>
      <c r="F66" s="14"/>
      <c r="G66" s="14" t="s">
        <v>288</v>
      </c>
      <c r="H66" s="19" t="s">
        <v>293</v>
      </c>
      <c r="I66" s="15" t="s">
        <v>292</v>
      </c>
    </row>
    <row r="67" spans="1:9" x14ac:dyDescent="0.25">
      <c r="A67" s="15" t="s">
        <v>555</v>
      </c>
      <c r="B67" s="1" t="s">
        <v>121</v>
      </c>
      <c r="C67" s="1">
        <v>67</v>
      </c>
      <c r="D67" s="1" t="s">
        <v>194</v>
      </c>
      <c r="E67" s="14" t="s">
        <v>247</v>
      </c>
      <c r="F67" s="14"/>
      <c r="G67" s="14" t="s">
        <v>288</v>
      </c>
      <c r="H67" s="19" t="s">
        <v>293</v>
      </c>
      <c r="I67" s="15" t="s">
        <v>292</v>
      </c>
    </row>
    <row r="68" spans="1:9" x14ac:dyDescent="0.25">
      <c r="A68" s="15" t="s">
        <v>556</v>
      </c>
      <c r="B68" s="1" t="s">
        <v>121</v>
      </c>
      <c r="C68" s="1">
        <v>68</v>
      </c>
      <c r="D68" s="1" t="s">
        <v>194</v>
      </c>
      <c r="E68" s="14" t="s">
        <v>247</v>
      </c>
      <c r="F68" s="14"/>
      <c r="G68" s="14" t="s">
        <v>288</v>
      </c>
      <c r="H68" s="19" t="s">
        <v>293</v>
      </c>
      <c r="I68" s="15" t="s">
        <v>292</v>
      </c>
    </row>
    <row r="69" spans="1:9" x14ac:dyDescent="0.25">
      <c r="A69" s="15" t="s">
        <v>557</v>
      </c>
      <c r="B69" s="1" t="s">
        <v>121</v>
      </c>
      <c r="C69" s="1">
        <v>69</v>
      </c>
      <c r="D69" s="1" t="s">
        <v>194</v>
      </c>
      <c r="E69" s="14" t="s">
        <v>247</v>
      </c>
      <c r="F69" s="14"/>
      <c r="G69" s="14" t="s">
        <v>288</v>
      </c>
      <c r="H69" s="19" t="s">
        <v>293</v>
      </c>
      <c r="I69" s="15" t="s">
        <v>292</v>
      </c>
    </row>
    <row r="70" spans="1:9" x14ac:dyDescent="0.25">
      <c r="A70" s="15" t="s">
        <v>558</v>
      </c>
      <c r="B70" s="1" t="s">
        <v>121</v>
      </c>
      <c r="C70" s="1">
        <v>70</v>
      </c>
      <c r="D70" s="1" t="s">
        <v>194</v>
      </c>
      <c r="E70" s="14" t="s">
        <v>247</v>
      </c>
      <c r="F70" s="14"/>
      <c r="G70" s="14" t="s">
        <v>288</v>
      </c>
      <c r="H70" s="19" t="s">
        <v>293</v>
      </c>
      <c r="I70" s="15" t="s">
        <v>292</v>
      </c>
    </row>
    <row r="71" spans="1:9" x14ac:dyDescent="0.25">
      <c r="A71" s="15" t="s">
        <v>559</v>
      </c>
      <c r="B71" s="1" t="s">
        <v>121</v>
      </c>
      <c r="C71" s="1">
        <v>71</v>
      </c>
      <c r="D71" s="1" t="s">
        <v>194</v>
      </c>
      <c r="E71" s="14" t="s">
        <v>247</v>
      </c>
      <c r="F71" s="14"/>
      <c r="G71" s="14" t="s">
        <v>288</v>
      </c>
      <c r="H71" s="19" t="s">
        <v>293</v>
      </c>
      <c r="I71" s="15" t="s">
        <v>292</v>
      </c>
    </row>
    <row r="72" spans="1:9" x14ac:dyDescent="0.25">
      <c r="A72" s="15" t="s">
        <v>560</v>
      </c>
      <c r="B72" s="1" t="s">
        <v>121</v>
      </c>
      <c r="C72" s="1">
        <v>72</v>
      </c>
      <c r="D72" s="1" t="s">
        <v>194</v>
      </c>
      <c r="E72" s="14" t="s">
        <v>247</v>
      </c>
      <c r="F72" s="14"/>
      <c r="G72" s="14" t="s">
        <v>288</v>
      </c>
      <c r="H72" s="19" t="s">
        <v>293</v>
      </c>
      <c r="I72" s="15" t="s">
        <v>292</v>
      </c>
    </row>
    <row r="73" spans="1:9" x14ac:dyDescent="0.25">
      <c r="A73" s="11" t="s">
        <v>561</v>
      </c>
      <c r="B73" s="1" t="s">
        <v>121</v>
      </c>
      <c r="C73" s="1">
        <v>73</v>
      </c>
      <c r="D73" s="1" t="s">
        <v>194</v>
      </c>
      <c r="E73" s="27" t="s">
        <v>431</v>
      </c>
      <c r="F73" s="27"/>
      <c r="G73" s="27" t="s">
        <v>288</v>
      </c>
      <c r="H73" s="27"/>
      <c r="I73" s="11" t="s">
        <v>435</v>
      </c>
    </row>
    <row r="74" spans="1:9" x14ac:dyDescent="0.25">
      <c r="A74" s="11" t="s">
        <v>562</v>
      </c>
      <c r="B74" s="1" t="s">
        <v>121</v>
      </c>
      <c r="C74" s="1">
        <v>74</v>
      </c>
      <c r="D74" s="1" t="s">
        <v>194</v>
      </c>
      <c r="E74" s="27" t="s">
        <v>431</v>
      </c>
      <c r="F74" s="27"/>
      <c r="G74" s="27" t="s">
        <v>288</v>
      </c>
      <c r="H74" s="27"/>
      <c r="I74" s="11" t="s">
        <v>436</v>
      </c>
    </row>
    <row r="75" spans="1:9" x14ac:dyDescent="0.25">
      <c r="A75" s="11" t="s">
        <v>563</v>
      </c>
      <c r="B75" s="1" t="s">
        <v>121</v>
      </c>
      <c r="C75" s="1">
        <v>75</v>
      </c>
      <c r="D75" s="1" t="s">
        <v>194</v>
      </c>
      <c r="E75" s="7" t="s">
        <v>247</v>
      </c>
      <c r="F75" s="7" t="s">
        <v>289</v>
      </c>
      <c r="G75" s="7" t="s">
        <v>244</v>
      </c>
      <c r="H75" s="7" t="s">
        <v>247</v>
      </c>
      <c r="I75" s="16"/>
    </row>
    <row r="76" spans="1:9" x14ac:dyDescent="0.25">
      <c r="A76" s="11" t="s">
        <v>564</v>
      </c>
      <c r="B76" s="1" t="s">
        <v>121</v>
      </c>
      <c r="C76" s="1">
        <v>76</v>
      </c>
      <c r="D76" s="1" t="s">
        <v>194</v>
      </c>
      <c r="E76" s="27">
        <v>31100</v>
      </c>
      <c r="F76" s="27">
        <v>2</v>
      </c>
      <c r="G76" s="27" t="s">
        <v>245</v>
      </c>
      <c r="H76" s="27" t="s">
        <v>246</v>
      </c>
      <c r="I76" s="11"/>
    </row>
    <row r="77" spans="1:9" x14ac:dyDescent="0.25">
      <c r="A77" s="11" t="s">
        <v>683</v>
      </c>
      <c r="B77" s="1" t="s">
        <v>121</v>
      </c>
      <c r="C77" s="1">
        <v>77</v>
      </c>
      <c r="D77" s="1" t="s">
        <v>194</v>
      </c>
      <c r="E77" s="7">
        <v>31200</v>
      </c>
      <c r="F77" s="7">
        <v>20</v>
      </c>
      <c r="G77" s="7" t="s">
        <v>244</v>
      </c>
      <c r="H77" s="7" t="s">
        <v>247</v>
      </c>
      <c r="I77" s="16"/>
    </row>
    <row r="78" spans="1:9" x14ac:dyDescent="0.25">
      <c r="A78" s="11" t="s">
        <v>565</v>
      </c>
      <c r="B78" s="1" t="s">
        <v>121</v>
      </c>
      <c r="C78" s="1">
        <v>78</v>
      </c>
      <c r="D78" s="1" t="s">
        <v>194</v>
      </c>
      <c r="E78" s="27">
        <v>32100</v>
      </c>
      <c r="F78" s="27">
        <v>2</v>
      </c>
      <c r="G78" s="27" t="s">
        <v>245</v>
      </c>
      <c r="H78" s="27" t="s">
        <v>250</v>
      </c>
      <c r="I78" s="11"/>
    </row>
    <row r="79" spans="1:9" x14ac:dyDescent="0.25">
      <c r="A79" s="11" t="s">
        <v>566</v>
      </c>
      <c r="B79" s="1" t="s">
        <v>121</v>
      </c>
      <c r="C79" s="1">
        <v>79</v>
      </c>
      <c r="D79" s="1" t="s">
        <v>194</v>
      </c>
      <c r="E79" s="27">
        <v>32101</v>
      </c>
      <c r="F79" s="27">
        <v>2</v>
      </c>
      <c r="G79" s="27" t="s">
        <v>248</v>
      </c>
      <c r="H79" s="27" t="s">
        <v>249</v>
      </c>
      <c r="I79" s="11"/>
    </row>
    <row r="80" spans="1:9" x14ac:dyDescent="0.25">
      <c r="A80" s="11" t="s">
        <v>567</v>
      </c>
      <c r="B80" s="1" t="s">
        <v>121</v>
      </c>
      <c r="C80" s="1">
        <v>80</v>
      </c>
      <c r="D80" s="1" t="s">
        <v>194</v>
      </c>
      <c r="E80" s="27">
        <v>32103</v>
      </c>
      <c r="F80" s="27">
        <v>4</v>
      </c>
      <c r="G80" s="27" t="s">
        <v>252</v>
      </c>
      <c r="H80" s="27" t="s">
        <v>251</v>
      </c>
      <c r="I80" s="11" t="s">
        <v>253</v>
      </c>
    </row>
    <row r="81" spans="1:9" x14ac:dyDescent="0.25">
      <c r="A81" s="11" t="s">
        <v>568</v>
      </c>
      <c r="B81" s="1" t="s">
        <v>121</v>
      </c>
      <c r="C81" s="1">
        <v>81</v>
      </c>
      <c r="D81" s="1" t="s">
        <v>194</v>
      </c>
      <c r="E81" s="27">
        <v>32104</v>
      </c>
      <c r="F81" s="27">
        <v>2</v>
      </c>
      <c r="G81" s="27" t="s">
        <v>245</v>
      </c>
      <c r="H81" s="27" t="s">
        <v>255</v>
      </c>
      <c r="I81" s="11"/>
    </row>
    <row r="82" spans="1:9" x14ac:dyDescent="0.25">
      <c r="A82" s="11" t="s">
        <v>569</v>
      </c>
      <c r="B82" s="1" t="s">
        <v>121</v>
      </c>
      <c r="C82" s="1">
        <v>82</v>
      </c>
      <c r="D82" s="1" t="s">
        <v>194</v>
      </c>
      <c r="E82" s="27">
        <v>32105</v>
      </c>
      <c r="F82" s="27">
        <v>2</v>
      </c>
      <c r="G82" s="27" t="s">
        <v>245</v>
      </c>
      <c r="H82" s="27" t="s">
        <v>257</v>
      </c>
      <c r="I82" s="11"/>
    </row>
    <row r="83" spans="1:9" x14ac:dyDescent="0.25">
      <c r="A83" s="11" t="s">
        <v>570</v>
      </c>
      <c r="B83" s="1" t="s">
        <v>121</v>
      </c>
      <c r="C83" s="1">
        <v>83</v>
      </c>
      <c r="D83" s="1" t="s">
        <v>194</v>
      </c>
      <c r="E83" s="7">
        <v>32200</v>
      </c>
      <c r="F83" s="7">
        <v>2</v>
      </c>
      <c r="G83" s="7" t="s">
        <v>245</v>
      </c>
      <c r="H83" s="7" t="s">
        <v>258</v>
      </c>
      <c r="I83" s="16"/>
    </row>
    <row r="84" spans="1:9" x14ac:dyDescent="0.25">
      <c r="A84" s="11" t="s">
        <v>571</v>
      </c>
      <c r="B84" s="1" t="s">
        <v>121</v>
      </c>
      <c r="C84" s="1">
        <v>84</v>
      </c>
      <c r="D84" s="1" t="s">
        <v>194</v>
      </c>
      <c r="E84" s="7">
        <v>32201</v>
      </c>
      <c r="F84" s="7">
        <v>2</v>
      </c>
      <c r="G84" s="7" t="s">
        <v>248</v>
      </c>
      <c r="H84" s="7" t="s">
        <v>249</v>
      </c>
      <c r="I84" s="16"/>
    </row>
    <row r="85" spans="1:9" x14ac:dyDescent="0.25">
      <c r="A85" s="11" t="s">
        <v>572</v>
      </c>
      <c r="B85" s="1" t="s">
        <v>121</v>
      </c>
      <c r="C85" s="1">
        <v>85</v>
      </c>
      <c r="D85" s="1" t="s">
        <v>194</v>
      </c>
      <c r="E85" s="7">
        <v>32202</v>
      </c>
      <c r="F85" s="7">
        <v>4</v>
      </c>
      <c r="G85" s="7" t="s">
        <v>252</v>
      </c>
      <c r="H85" s="7" t="s">
        <v>251</v>
      </c>
      <c r="I85" s="16" t="s">
        <v>254</v>
      </c>
    </row>
    <row r="86" spans="1:9" x14ac:dyDescent="0.25">
      <c r="A86" s="11" t="s">
        <v>573</v>
      </c>
      <c r="B86" s="1" t="s">
        <v>121</v>
      </c>
      <c r="C86" s="1">
        <v>86</v>
      </c>
      <c r="D86" s="1" t="s">
        <v>194</v>
      </c>
      <c r="E86" s="7">
        <v>32204</v>
      </c>
      <c r="F86" s="7">
        <v>2</v>
      </c>
      <c r="G86" s="7" t="s">
        <v>245</v>
      </c>
      <c r="H86" s="7" t="s">
        <v>259</v>
      </c>
      <c r="I86" s="16"/>
    </row>
    <row r="87" spans="1:9" x14ac:dyDescent="0.25">
      <c r="A87" s="11" t="s">
        <v>574</v>
      </c>
      <c r="B87" s="1" t="s">
        <v>121</v>
      </c>
      <c r="C87" s="1">
        <v>87</v>
      </c>
      <c r="D87" s="1" t="s">
        <v>194</v>
      </c>
      <c r="E87" s="27">
        <v>32300</v>
      </c>
      <c r="F87" s="27">
        <v>2</v>
      </c>
      <c r="G87" s="27" t="s">
        <v>245</v>
      </c>
      <c r="H87" s="27" t="s">
        <v>258</v>
      </c>
      <c r="I87" s="11"/>
    </row>
    <row r="88" spans="1:9" x14ac:dyDescent="0.25">
      <c r="A88" s="11" t="s">
        <v>575</v>
      </c>
      <c r="B88" s="1" t="s">
        <v>121</v>
      </c>
      <c r="C88" s="1">
        <v>88</v>
      </c>
      <c r="D88" s="1" t="s">
        <v>194</v>
      </c>
      <c r="E88" s="27">
        <v>32301</v>
      </c>
      <c r="F88" s="27">
        <v>2</v>
      </c>
      <c r="G88" s="27" t="s">
        <v>245</v>
      </c>
      <c r="H88" s="27" t="s">
        <v>249</v>
      </c>
      <c r="I88" s="11"/>
    </row>
    <row r="89" spans="1:9" x14ac:dyDescent="0.25">
      <c r="A89" s="11" t="s">
        <v>576</v>
      </c>
      <c r="B89" s="1" t="s">
        <v>121</v>
      </c>
      <c r="C89" s="1">
        <v>89</v>
      </c>
      <c r="D89" s="1" t="s">
        <v>194</v>
      </c>
      <c r="E89" s="27">
        <v>32302</v>
      </c>
      <c r="F89" s="27">
        <v>4</v>
      </c>
      <c r="G89" s="27" t="s">
        <v>252</v>
      </c>
      <c r="H89" s="27" t="s">
        <v>251</v>
      </c>
      <c r="I89" s="11"/>
    </row>
    <row r="90" spans="1:9" x14ac:dyDescent="0.25">
      <c r="A90" s="11" t="s">
        <v>577</v>
      </c>
      <c r="B90" s="1" t="s">
        <v>121</v>
      </c>
      <c r="C90" s="1">
        <v>90</v>
      </c>
      <c r="D90" s="1" t="s">
        <v>194</v>
      </c>
      <c r="E90" s="7">
        <v>33000</v>
      </c>
      <c r="F90" s="7">
        <v>4</v>
      </c>
      <c r="G90" s="7" t="s">
        <v>260</v>
      </c>
      <c r="H90" s="7" t="s">
        <v>261</v>
      </c>
      <c r="I90" s="16"/>
    </row>
    <row r="91" spans="1:9" x14ac:dyDescent="0.25">
      <c r="A91" s="11" t="s">
        <v>578</v>
      </c>
      <c r="B91" s="1" t="s">
        <v>121</v>
      </c>
      <c r="C91" s="1">
        <v>91</v>
      </c>
      <c r="D91" s="1" t="s">
        <v>194</v>
      </c>
      <c r="E91" s="7">
        <v>33002</v>
      </c>
      <c r="F91" s="7">
        <v>4</v>
      </c>
      <c r="G91" s="7" t="s">
        <v>260</v>
      </c>
      <c r="H91" s="7" t="s">
        <v>261</v>
      </c>
      <c r="I91" s="16"/>
    </row>
    <row r="92" spans="1:9" x14ac:dyDescent="0.25">
      <c r="A92" s="11" t="s">
        <v>579</v>
      </c>
      <c r="B92" s="1" t="s">
        <v>121</v>
      </c>
      <c r="C92" s="1">
        <v>92</v>
      </c>
      <c r="D92" s="1" t="s">
        <v>194</v>
      </c>
      <c r="E92" s="7">
        <v>33004</v>
      </c>
      <c r="F92" s="7">
        <v>4</v>
      </c>
      <c r="G92" s="7" t="s">
        <v>260</v>
      </c>
      <c r="H92" s="7" t="s">
        <v>261</v>
      </c>
      <c r="I92" s="16"/>
    </row>
    <row r="93" spans="1:9" x14ac:dyDescent="0.25">
      <c r="A93" s="11" t="s">
        <v>580</v>
      </c>
      <c r="B93" s="1" t="s">
        <v>121</v>
      </c>
      <c r="C93" s="1">
        <v>93</v>
      </c>
      <c r="D93" s="1" t="s">
        <v>194</v>
      </c>
      <c r="E93" s="7">
        <v>33006</v>
      </c>
      <c r="F93" s="7">
        <v>4</v>
      </c>
      <c r="G93" s="7" t="s">
        <v>260</v>
      </c>
      <c r="H93" s="7" t="s">
        <v>261</v>
      </c>
      <c r="I93" s="16"/>
    </row>
    <row r="94" spans="1:9" x14ac:dyDescent="0.25">
      <c r="A94" s="11" t="s">
        <v>581</v>
      </c>
      <c r="B94" s="1" t="s">
        <v>121</v>
      </c>
      <c r="C94" s="1">
        <v>94</v>
      </c>
      <c r="D94" s="1" t="s">
        <v>194</v>
      </c>
      <c r="E94" s="7">
        <v>33008</v>
      </c>
      <c r="F94" s="7">
        <v>4</v>
      </c>
      <c r="G94" s="7" t="s">
        <v>260</v>
      </c>
      <c r="H94" s="7" t="s">
        <v>261</v>
      </c>
      <c r="I94" s="16"/>
    </row>
    <row r="95" spans="1:9" x14ac:dyDescent="0.25">
      <c r="A95" s="11" t="s">
        <v>582</v>
      </c>
      <c r="B95" s="1" t="s">
        <v>121</v>
      </c>
      <c r="C95" s="1">
        <v>95</v>
      </c>
      <c r="D95" s="1" t="s">
        <v>194</v>
      </c>
      <c r="E95" s="7">
        <v>33010</v>
      </c>
      <c r="F95" s="7">
        <v>4</v>
      </c>
      <c r="G95" s="7" t="s">
        <v>260</v>
      </c>
      <c r="H95" s="7" t="s">
        <v>261</v>
      </c>
      <c r="I95" s="16"/>
    </row>
    <row r="96" spans="1:9" x14ac:dyDescent="0.25">
      <c r="A96" s="11" t="s">
        <v>583</v>
      </c>
      <c r="B96" s="1" t="s">
        <v>121</v>
      </c>
      <c r="C96" s="1">
        <v>96</v>
      </c>
      <c r="D96" s="1" t="s">
        <v>194</v>
      </c>
      <c r="E96" s="27">
        <v>35000</v>
      </c>
      <c r="F96" s="27">
        <v>2</v>
      </c>
      <c r="G96" s="27" t="s">
        <v>245</v>
      </c>
      <c r="H96" s="27" t="s">
        <v>262</v>
      </c>
      <c r="I96" s="11"/>
    </row>
    <row r="97" spans="1:9" x14ac:dyDescent="0.25">
      <c r="A97" s="11" t="s">
        <v>584</v>
      </c>
      <c r="B97" s="1" t="s">
        <v>121</v>
      </c>
      <c r="C97" s="1">
        <v>97</v>
      </c>
      <c r="D97" s="1" t="s">
        <v>194</v>
      </c>
      <c r="E97" s="27">
        <v>35001</v>
      </c>
      <c r="F97" s="27">
        <v>2</v>
      </c>
      <c r="G97" s="27" t="s">
        <v>245</v>
      </c>
      <c r="H97" s="27" t="s">
        <v>262</v>
      </c>
      <c r="I97" s="11"/>
    </row>
    <row r="98" spans="1:9" x14ac:dyDescent="0.25">
      <c r="A98" s="11" t="s">
        <v>585</v>
      </c>
      <c r="B98" s="1" t="s">
        <v>121</v>
      </c>
      <c r="C98" s="1">
        <v>98</v>
      </c>
      <c r="D98" s="1" t="s">
        <v>194</v>
      </c>
      <c r="E98" s="27">
        <v>35002</v>
      </c>
      <c r="F98" s="27">
        <v>2</v>
      </c>
      <c r="G98" s="27" t="s">
        <v>245</v>
      </c>
      <c r="H98" s="27" t="s">
        <v>262</v>
      </c>
      <c r="I98" s="11"/>
    </row>
    <row r="99" spans="1:9" x14ac:dyDescent="0.25">
      <c r="A99" s="11" t="s">
        <v>586</v>
      </c>
      <c r="B99" s="1" t="s">
        <v>121</v>
      </c>
      <c r="C99" s="1">
        <v>99</v>
      </c>
      <c r="D99" s="1" t="s">
        <v>194</v>
      </c>
      <c r="E99" s="7">
        <v>35010</v>
      </c>
      <c r="F99" s="7">
        <v>2</v>
      </c>
      <c r="G99" s="7" t="s">
        <v>245</v>
      </c>
      <c r="H99" s="7" t="s">
        <v>262</v>
      </c>
      <c r="I99" s="16"/>
    </row>
    <row r="100" spans="1:9" x14ac:dyDescent="0.25">
      <c r="A100" s="11" t="s">
        <v>587</v>
      </c>
      <c r="B100" s="1" t="s">
        <v>121</v>
      </c>
      <c r="C100" s="1">
        <v>100</v>
      </c>
      <c r="D100" s="1" t="s">
        <v>194</v>
      </c>
      <c r="E100" s="7">
        <v>35011</v>
      </c>
      <c r="F100" s="7">
        <v>2</v>
      </c>
      <c r="G100" s="7" t="s">
        <v>245</v>
      </c>
      <c r="H100" s="7" t="s">
        <v>262</v>
      </c>
      <c r="I100" s="16"/>
    </row>
    <row r="101" spans="1:9" x14ac:dyDescent="0.25">
      <c r="A101" s="11" t="s">
        <v>588</v>
      </c>
      <c r="B101" s="1" t="s">
        <v>121</v>
      </c>
      <c r="C101" s="1">
        <v>101</v>
      </c>
      <c r="D101" s="1" t="s">
        <v>194</v>
      </c>
      <c r="E101" s="27">
        <v>35100</v>
      </c>
      <c r="F101" s="27">
        <v>2</v>
      </c>
      <c r="G101" s="27" t="s">
        <v>245</v>
      </c>
      <c r="H101" s="27" t="s">
        <v>247</v>
      </c>
      <c r="I101" s="11" t="s">
        <v>240</v>
      </c>
    </row>
    <row r="102" spans="1:9" x14ac:dyDescent="0.25">
      <c r="A102" s="11" t="s">
        <v>589</v>
      </c>
      <c r="B102" s="1" t="s">
        <v>121</v>
      </c>
      <c r="C102" s="1">
        <v>102</v>
      </c>
      <c r="D102" s="1" t="s">
        <v>194</v>
      </c>
      <c r="E102" s="27">
        <v>35110</v>
      </c>
      <c r="F102" s="27">
        <v>2</v>
      </c>
      <c r="G102" s="27" t="s">
        <v>245</v>
      </c>
      <c r="H102" s="27" t="s">
        <v>263</v>
      </c>
      <c r="I102" s="11"/>
    </row>
    <row r="103" spans="1:9" x14ac:dyDescent="0.25">
      <c r="A103" s="11" t="s">
        <v>590</v>
      </c>
      <c r="B103" s="1" t="s">
        <v>121</v>
      </c>
      <c r="C103" s="1">
        <v>103</v>
      </c>
      <c r="D103" s="1" t="s">
        <v>194</v>
      </c>
      <c r="E103" s="27">
        <v>35111</v>
      </c>
      <c r="F103" s="27">
        <v>2</v>
      </c>
      <c r="G103" s="27" t="s">
        <v>245</v>
      </c>
      <c r="H103" s="27" t="s">
        <v>264</v>
      </c>
      <c r="I103" s="11"/>
    </row>
    <row r="104" spans="1:9" x14ac:dyDescent="0.25">
      <c r="A104" s="11" t="s">
        <v>591</v>
      </c>
      <c r="B104" s="1" t="s">
        <v>121</v>
      </c>
      <c r="C104" s="1">
        <v>104</v>
      </c>
      <c r="D104" s="1" t="s">
        <v>194</v>
      </c>
      <c r="E104" s="27">
        <v>35112</v>
      </c>
      <c r="F104" s="27">
        <v>2</v>
      </c>
      <c r="G104" s="27" t="s">
        <v>245</v>
      </c>
      <c r="H104" s="27" t="s">
        <v>264</v>
      </c>
      <c r="I104" s="11"/>
    </row>
    <row r="105" spans="1:9" x14ac:dyDescent="0.25">
      <c r="A105" s="11" t="s">
        <v>592</v>
      </c>
      <c r="B105" s="1" t="s">
        <v>121</v>
      </c>
      <c r="C105" s="1">
        <v>105</v>
      </c>
      <c r="D105" s="1" t="s">
        <v>194</v>
      </c>
      <c r="E105" s="7">
        <v>36000</v>
      </c>
      <c r="F105" s="7">
        <v>2</v>
      </c>
      <c r="G105" s="7" t="s">
        <v>266</v>
      </c>
      <c r="H105" s="7" t="s">
        <v>247</v>
      </c>
      <c r="I105" s="16"/>
    </row>
    <row r="106" spans="1:9" x14ac:dyDescent="0.25">
      <c r="A106" s="11" t="s">
        <v>593</v>
      </c>
      <c r="B106" s="1" t="s">
        <v>121</v>
      </c>
      <c r="C106" s="1">
        <v>106</v>
      </c>
      <c r="D106" s="1" t="s">
        <v>194</v>
      </c>
      <c r="E106" s="27">
        <v>36100</v>
      </c>
      <c r="F106" s="27">
        <v>4</v>
      </c>
      <c r="G106" s="27" t="s">
        <v>266</v>
      </c>
      <c r="H106" s="27" t="s">
        <v>247</v>
      </c>
      <c r="I106" s="11"/>
    </row>
    <row r="107" spans="1:9" x14ac:dyDescent="0.25">
      <c r="A107" s="16" t="s">
        <v>594</v>
      </c>
      <c r="B107" s="1" t="s">
        <v>121</v>
      </c>
      <c r="C107" s="1">
        <v>107</v>
      </c>
      <c r="D107" s="1" t="s">
        <v>194</v>
      </c>
      <c r="E107" s="7">
        <v>41000</v>
      </c>
      <c r="F107" s="7">
        <v>2</v>
      </c>
      <c r="G107" s="7" t="s">
        <v>245</v>
      </c>
      <c r="H107" s="7" t="s">
        <v>247</v>
      </c>
      <c r="I107" s="16" t="s">
        <v>268</v>
      </c>
    </row>
    <row r="108" spans="1:9" x14ac:dyDescent="0.25">
      <c r="A108" s="16" t="s">
        <v>595</v>
      </c>
      <c r="B108" s="1" t="s">
        <v>121</v>
      </c>
      <c r="C108" s="1">
        <v>108</v>
      </c>
      <c r="D108" s="1" t="s">
        <v>194</v>
      </c>
      <c r="E108" s="27">
        <v>41200</v>
      </c>
      <c r="F108" s="27">
        <v>2</v>
      </c>
      <c r="G108" s="27" t="s">
        <v>245</v>
      </c>
      <c r="H108" s="27" t="s">
        <v>247</v>
      </c>
      <c r="I108" s="11" t="s">
        <v>267</v>
      </c>
    </row>
    <row r="109" spans="1:9" x14ac:dyDescent="0.25">
      <c r="A109" s="16" t="s">
        <v>596</v>
      </c>
      <c r="B109" s="1" t="s">
        <v>121</v>
      </c>
      <c r="C109" s="1">
        <v>109</v>
      </c>
      <c r="D109" s="1" t="s">
        <v>194</v>
      </c>
      <c r="E109" s="7">
        <v>42000</v>
      </c>
      <c r="F109" s="7">
        <v>2</v>
      </c>
      <c r="G109" s="7" t="s">
        <v>245</v>
      </c>
      <c r="H109" s="7" t="s">
        <v>247</v>
      </c>
      <c r="I109" s="16" t="s">
        <v>269</v>
      </c>
    </row>
    <row r="110" spans="1:9" x14ac:dyDescent="0.25">
      <c r="A110" s="16" t="s">
        <v>597</v>
      </c>
      <c r="B110" s="1" t="s">
        <v>121</v>
      </c>
      <c r="C110" s="1">
        <v>110</v>
      </c>
      <c r="D110" s="1" t="s">
        <v>194</v>
      </c>
      <c r="E110" s="27">
        <v>42010</v>
      </c>
      <c r="F110" s="27">
        <v>2</v>
      </c>
      <c r="G110" s="27" t="s">
        <v>245</v>
      </c>
      <c r="H110" s="27" t="s">
        <v>247</v>
      </c>
      <c r="I110" s="11" t="s">
        <v>200</v>
      </c>
    </row>
    <row r="111" spans="1:9" x14ac:dyDescent="0.25">
      <c r="A111" s="16" t="s">
        <v>598</v>
      </c>
      <c r="B111" s="1" t="s">
        <v>121</v>
      </c>
      <c r="C111" s="1">
        <v>111</v>
      </c>
      <c r="D111" s="1" t="s">
        <v>194</v>
      </c>
      <c r="E111" s="27">
        <v>42011</v>
      </c>
      <c r="F111" s="27">
        <v>2</v>
      </c>
      <c r="G111" s="27" t="s">
        <v>245</v>
      </c>
      <c r="H111" s="27">
        <v>0.01</v>
      </c>
      <c r="I111" s="11" t="s">
        <v>203</v>
      </c>
    </row>
    <row r="112" spans="1:9" x14ac:dyDescent="0.25">
      <c r="A112" s="16" t="s">
        <v>599</v>
      </c>
      <c r="B112" s="1" t="s">
        <v>121</v>
      </c>
      <c r="C112" s="1">
        <v>112</v>
      </c>
      <c r="D112" s="1" t="s">
        <v>194</v>
      </c>
      <c r="E112" s="7">
        <v>42020</v>
      </c>
      <c r="F112" s="7">
        <v>2</v>
      </c>
      <c r="G112" s="7" t="s">
        <v>245</v>
      </c>
      <c r="H112" s="7" t="s">
        <v>251</v>
      </c>
      <c r="I112" s="16" t="s">
        <v>204</v>
      </c>
    </row>
    <row r="113" spans="1:9" x14ac:dyDescent="0.25">
      <c r="A113" s="16" t="s">
        <v>600</v>
      </c>
      <c r="B113" s="1" t="s">
        <v>121</v>
      </c>
      <c r="C113" s="1">
        <v>113</v>
      </c>
      <c r="D113" s="1" t="s">
        <v>194</v>
      </c>
      <c r="E113" s="27">
        <v>42021</v>
      </c>
      <c r="F113" s="27">
        <v>2</v>
      </c>
      <c r="G113" s="27" t="s">
        <v>245</v>
      </c>
      <c r="H113" s="27" t="s">
        <v>251</v>
      </c>
      <c r="I113" s="11" t="s">
        <v>205</v>
      </c>
    </row>
    <row r="114" spans="1:9" x14ac:dyDescent="0.25">
      <c r="A114" s="16" t="s">
        <v>601</v>
      </c>
      <c r="B114" s="1" t="s">
        <v>121</v>
      </c>
      <c r="C114" s="1">
        <v>114</v>
      </c>
      <c r="D114" s="1" t="s">
        <v>194</v>
      </c>
      <c r="E114" s="7">
        <v>43000</v>
      </c>
      <c r="F114" s="7">
        <v>2</v>
      </c>
      <c r="G114" s="7" t="s">
        <v>245</v>
      </c>
      <c r="H114" s="7" t="s">
        <v>247</v>
      </c>
      <c r="I114" s="16" t="s">
        <v>202</v>
      </c>
    </row>
    <row r="115" spans="1:9" x14ac:dyDescent="0.25">
      <c r="A115" s="16" t="s">
        <v>602</v>
      </c>
      <c r="B115" s="1" t="s">
        <v>121</v>
      </c>
      <c r="C115" s="1">
        <v>115</v>
      </c>
      <c r="D115" s="1" t="s">
        <v>194</v>
      </c>
      <c r="E115" s="27">
        <v>44000</v>
      </c>
      <c r="F115" s="27">
        <v>2</v>
      </c>
      <c r="G115" s="27" t="s">
        <v>245</v>
      </c>
      <c r="H115" s="27" t="s">
        <v>255</v>
      </c>
      <c r="I115" s="11"/>
    </row>
    <row r="116" spans="1:9" x14ac:dyDescent="0.25">
      <c r="A116" s="16" t="s">
        <v>603</v>
      </c>
      <c r="B116" s="1" t="s">
        <v>121</v>
      </c>
      <c r="C116" s="1">
        <v>116</v>
      </c>
      <c r="D116" s="1" t="s">
        <v>194</v>
      </c>
      <c r="E116" s="27">
        <v>44001</v>
      </c>
      <c r="F116" s="27">
        <v>2</v>
      </c>
      <c r="G116" s="27" t="s">
        <v>245</v>
      </c>
      <c r="H116" s="27" t="s">
        <v>255</v>
      </c>
      <c r="I116" s="11"/>
    </row>
    <row r="117" spans="1:9" x14ac:dyDescent="0.25">
      <c r="A117" s="16" t="s">
        <v>604</v>
      </c>
      <c r="B117" s="1" t="s">
        <v>121</v>
      </c>
      <c r="C117" s="1">
        <v>117</v>
      </c>
      <c r="D117" s="1" t="s">
        <v>194</v>
      </c>
      <c r="E117" s="27">
        <v>44002</v>
      </c>
      <c r="F117" s="27">
        <v>2</v>
      </c>
      <c r="G117" s="27" t="s">
        <v>245</v>
      </c>
      <c r="H117" s="27" t="s">
        <v>251</v>
      </c>
      <c r="I117" s="11"/>
    </row>
    <row r="118" spans="1:9" x14ac:dyDescent="0.25">
      <c r="A118" s="16" t="s">
        <v>605</v>
      </c>
      <c r="B118" s="1" t="s">
        <v>121</v>
      </c>
      <c r="C118" s="1">
        <v>118</v>
      </c>
      <c r="D118" s="1" t="s">
        <v>194</v>
      </c>
      <c r="E118" s="27">
        <v>44003</v>
      </c>
      <c r="F118" s="27">
        <v>2</v>
      </c>
      <c r="G118" s="27" t="s">
        <v>245</v>
      </c>
      <c r="H118" s="27" t="s">
        <v>251</v>
      </c>
      <c r="I118" s="11"/>
    </row>
    <row r="119" spans="1:9" x14ac:dyDescent="0.25">
      <c r="A119" s="17" t="s">
        <v>606</v>
      </c>
      <c r="B119" s="1" t="s">
        <v>121</v>
      </c>
      <c r="C119" s="1">
        <v>119</v>
      </c>
      <c r="D119" s="1" t="s">
        <v>194</v>
      </c>
      <c r="E119" s="7" t="s">
        <v>431</v>
      </c>
      <c r="F119" s="7" t="s">
        <v>289</v>
      </c>
      <c r="G119" s="7"/>
      <c r="H119" s="7"/>
      <c r="I119" s="16"/>
    </row>
    <row r="120" spans="1:9" x14ac:dyDescent="0.25">
      <c r="A120" s="17" t="s">
        <v>607</v>
      </c>
      <c r="B120" s="1" t="s">
        <v>121</v>
      </c>
      <c r="C120" s="1">
        <v>120</v>
      </c>
      <c r="D120" s="1" t="s">
        <v>194</v>
      </c>
      <c r="E120" s="7" t="s">
        <v>431</v>
      </c>
      <c r="F120" s="7" t="s">
        <v>289</v>
      </c>
      <c r="G120" s="7"/>
      <c r="H120" s="7"/>
      <c r="I120" s="16"/>
    </row>
    <row r="121" spans="1:9" x14ac:dyDescent="0.25">
      <c r="A121" s="8" t="s">
        <v>608</v>
      </c>
      <c r="B121" s="1" t="s">
        <v>121</v>
      </c>
      <c r="C121" s="1">
        <v>121</v>
      </c>
      <c r="D121" s="1" t="s">
        <v>194</v>
      </c>
      <c r="E121" s="26" t="s">
        <v>431</v>
      </c>
      <c r="F121" s="26"/>
      <c r="G121" s="26" t="s">
        <v>288</v>
      </c>
      <c r="H121" s="26"/>
      <c r="I121" s="8" t="s">
        <v>438</v>
      </c>
    </row>
    <row r="122" spans="1:9" x14ac:dyDescent="0.25">
      <c r="A122" s="8" t="s">
        <v>609</v>
      </c>
      <c r="B122" s="1" t="s">
        <v>121</v>
      </c>
      <c r="C122" s="1">
        <v>122</v>
      </c>
      <c r="D122" s="1" t="s">
        <v>194</v>
      </c>
      <c r="E122" s="26" t="s">
        <v>431</v>
      </c>
      <c r="F122" s="26"/>
      <c r="G122" s="26" t="s">
        <v>288</v>
      </c>
      <c r="H122" s="26"/>
      <c r="I122" s="8" t="s">
        <v>439</v>
      </c>
    </row>
    <row r="123" spans="1:9" x14ac:dyDescent="0.25">
      <c r="A123" s="8" t="s">
        <v>610</v>
      </c>
      <c r="B123" s="1" t="s">
        <v>121</v>
      </c>
      <c r="C123" s="1">
        <v>123</v>
      </c>
      <c r="D123" s="1" t="s">
        <v>194</v>
      </c>
      <c r="E123" s="26" t="s">
        <v>491</v>
      </c>
      <c r="F123" s="26">
        <v>2</v>
      </c>
      <c r="G123" s="26" t="s">
        <v>245</v>
      </c>
      <c r="H123" s="26"/>
      <c r="I123" s="8"/>
    </row>
    <row r="124" spans="1:9" x14ac:dyDescent="0.25">
      <c r="A124" s="8" t="s">
        <v>611</v>
      </c>
      <c r="B124" s="1" t="s">
        <v>121</v>
      </c>
      <c r="C124" s="1">
        <v>124</v>
      </c>
      <c r="D124" s="1" t="s">
        <v>194</v>
      </c>
      <c r="E124" s="26" t="s">
        <v>491</v>
      </c>
      <c r="F124" s="26">
        <v>2</v>
      </c>
      <c r="G124" s="26" t="s">
        <v>248</v>
      </c>
      <c r="H124" s="26"/>
      <c r="I124" s="8"/>
    </row>
    <row r="125" spans="1:9" x14ac:dyDescent="0.25">
      <c r="A125" s="8" t="s">
        <v>612</v>
      </c>
      <c r="B125" s="1" t="s">
        <v>121</v>
      </c>
      <c r="C125" s="1">
        <v>125</v>
      </c>
      <c r="D125" s="1" t="s">
        <v>194</v>
      </c>
      <c r="E125" s="26" t="s">
        <v>491</v>
      </c>
      <c r="F125" s="26">
        <v>2</v>
      </c>
      <c r="G125" s="26" t="s">
        <v>248</v>
      </c>
      <c r="H125" s="26"/>
      <c r="I125" s="8"/>
    </row>
    <row r="126" spans="1:9" x14ac:dyDescent="0.25">
      <c r="A126" s="8" t="s">
        <v>613</v>
      </c>
      <c r="B126" s="1" t="s">
        <v>121</v>
      </c>
      <c r="C126" s="1">
        <v>126</v>
      </c>
      <c r="D126" s="1" t="s">
        <v>194</v>
      </c>
      <c r="E126" s="26" t="s">
        <v>491</v>
      </c>
      <c r="F126" s="26">
        <v>4</v>
      </c>
      <c r="G126" s="26" t="s">
        <v>260</v>
      </c>
      <c r="H126" s="26"/>
      <c r="I126" s="8"/>
    </row>
    <row r="127" spans="1:9" x14ac:dyDescent="0.25">
      <c r="A127" s="8" t="s">
        <v>614</v>
      </c>
      <c r="B127" s="1" t="s">
        <v>121</v>
      </c>
      <c r="C127" s="1">
        <v>127</v>
      </c>
      <c r="D127" s="1" t="s">
        <v>194</v>
      </c>
      <c r="E127" s="26" t="s">
        <v>491</v>
      </c>
      <c r="F127" s="26">
        <v>4</v>
      </c>
      <c r="G127" s="26" t="s">
        <v>260</v>
      </c>
      <c r="H127" s="26"/>
      <c r="I127" s="8"/>
    </row>
    <row r="128" spans="1:9" x14ac:dyDescent="0.25">
      <c r="A128" s="8" t="s">
        <v>615</v>
      </c>
      <c r="B128" s="1" t="s">
        <v>121</v>
      </c>
      <c r="C128" s="1">
        <v>128</v>
      </c>
      <c r="D128" s="1" t="s">
        <v>194</v>
      </c>
      <c r="E128" s="26" t="s">
        <v>491</v>
      </c>
      <c r="F128" s="26">
        <v>2</v>
      </c>
      <c r="G128" s="26" t="s">
        <v>245</v>
      </c>
      <c r="H128" s="26"/>
      <c r="I128" s="8"/>
    </row>
    <row r="129" spans="1:9" x14ac:dyDescent="0.25">
      <c r="A129" s="8" t="s">
        <v>616</v>
      </c>
      <c r="B129" s="1" t="s">
        <v>121</v>
      </c>
      <c r="C129" s="1">
        <v>129</v>
      </c>
      <c r="D129" s="1" t="s">
        <v>194</v>
      </c>
      <c r="E129" s="26" t="s">
        <v>491</v>
      </c>
      <c r="F129" s="26">
        <v>2</v>
      </c>
      <c r="G129" s="26" t="s">
        <v>245</v>
      </c>
      <c r="H129" s="26"/>
      <c r="I129" s="8"/>
    </row>
    <row r="130" spans="1:9" x14ac:dyDescent="0.25">
      <c r="A130" s="8" t="s">
        <v>617</v>
      </c>
      <c r="B130" s="1" t="s">
        <v>121</v>
      </c>
      <c r="C130" s="1">
        <v>130</v>
      </c>
      <c r="D130" s="1" t="s">
        <v>194</v>
      </c>
      <c r="E130" s="26" t="s">
        <v>491</v>
      </c>
      <c r="F130" s="26">
        <v>2</v>
      </c>
      <c r="G130" s="26" t="s">
        <v>245</v>
      </c>
      <c r="H130" s="26"/>
      <c r="I130" s="8"/>
    </row>
    <row r="131" spans="1:9" x14ac:dyDescent="0.25">
      <c r="A131" s="8" t="s">
        <v>618</v>
      </c>
      <c r="B131" s="1" t="s">
        <v>121</v>
      </c>
      <c r="C131" s="1">
        <v>131</v>
      </c>
      <c r="D131" s="1" t="s">
        <v>194</v>
      </c>
      <c r="E131" s="26" t="s">
        <v>491</v>
      </c>
      <c r="F131" s="26">
        <v>2</v>
      </c>
      <c r="G131" s="26" t="s">
        <v>245</v>
      </c>
      <c r="H131" s="26"/>
      <c r="I131" s="8"/>
    </row>
    <row r="132" spans="1:9" x14ac:dyDescent="0.25">
      <c r="A132" s="8" t="s">
        <v>619</v>
      </c>
      <c r="B132" s="1" t="s">
        <v>121</v>
      </c>
      <c r="C132" s="1">
        <v>132</v>
      </c>
      <c r="D132" s="1" t="s">
        <v>194</v>
      </c>
      <c r="E132" s="26" t="s">
        <v>491</v>
      </c>
      <c r="F132" s="26">
        <v>2</v>
      </c>
      <c r="G132" s="26" t="s">
        <v>245</v>
      </c>
      <c r="H132" s="26"/>
      <c r="I132" s="8"/>
    </row>
    <row r="133" spans="1:9" x14ac:dyDescent="0.25">
      <c r="A133" s="8" t="s">
        <v>620</v>
      </c>
      <c r="B133" s="1" t="s">
        <v>121</v>
      </c>
      <c r="C133" s="1">
        <v>133</v>
      </c>
      <c r="D133" s="1" t="s">
        <v>194</v>
      </c>
      <c r="E133" s="26" t="s">
        <v>491</v>
      </c>
      <c r="F133" s="26">
        <v>2</v>
      </c>
      <c r="G133" s="26" t="s">
        <v>245</v>
      </c>
      <c r="H133" s="26"/>
      <c r="I133" s="8"/>
    </row>
    <row r="134" spans="1:9" x14ac:dyDescent="0.25">
      <c r="A134" s="8" t="s">
        <v>621</v>
      </c>
      <c r="B134" s="1" t="s">
        <v>121</v>
      </c>
      <c r="C134" s="1">
        <v>134</v>
      </c>
      <c r="D134" s="1" t="s">
        <v>194</v>
      </c>
      <c r="E134" s="26" t="s">
        <v>491</v>
      </c>
      <c r="F134" s="26">
        <v>2</v>
      </c>
      <c r="G134" s="26" t="s">
        <v>248</v>
      </c>
      <c r="H134" s="26"/>
      <c r="I134" s="8"/>
    </row>
    <row r="135" spans="1:9" x14ac:dyDescent="0.25">
      <c r="A135" s="8" t="s">
        <v>622</v>
      </c>
      <c r="B135" s="1" t="s">
        <v>121</v>
      </c>
      <c r="C135" s="1">
        <v>135</v>
      </c>
      <c r="D135" s="1" t="s">
        <v>194</v>
      </c>
      <c r="E135" s="26" t="s">
        <v>491</v>
      </c>
      <c r="F135" s="26">
        <v>2</v>
      </c>
      <c r="G135" s="26" t="s">
        <v>248</v>
      </c>
      <c r="H135" s="26"/>
      <c r="I135" s="8"/>
    </row>
    <row r="136" spans="1:9" x14ac:dyDescent="0.25">
      <c r="A136" s="8" t="s">
        <v>623</v>
      </c>
      <c r="B136" s="1" t="s">
        <v>121</v>
      </c>
      <c r="C136" s="1">
        <v>136</v>
      </c>
      <c r="D136" s="1" t="s">
        <v>194</v>
      </c>
      <c r="E136" s="26" t="s">
        <v>491</v>
      </c>
      <c r="F136" s="26">
        <v>2</v>
      </c>
      <c r="G136" s="26" t="s">
        <v>248</v>
      </c>
      <c r="H136" s="26"/>
      <c r="I136" s="8"/>
    </row>
    <row r="137" spans="1:9" x14ac:dyDescent="0.25">
      <c r="A137" s="8" t="s">
        <v>624</v>
      </c>
      <c r="B137" s="1" t="s">
        <v>121</v>
      </c>
      <c r="C137" s="1">
        <v>137</v>
      </c>
      <c r="D137" s="1" t="s">
        <v>194</v>
      </c>
      <c r="E137" s="26" t="s">
        <v>491</v>
      </c>
      <c r="F137" s="26">
        <v>2</v>
      </c>
      <c r="G137" s="26" t="s">
        <v>245</v>
      </c>
      <c r="H137" s="26"/>
      <c r="I137" s="8"/>
    </row>
    <row r="138" spans="1:9" x14ac:dyDescent="0.25">
      <c r="A138" s="8" t="s">
        <v>625</v>
      </c>
      <c r="B138" s="1" t="s">
        <v>121</v>
      </c>
      <c r="C138" s="1">
        <v>138</v>
      </c>
      <c r="D138" s="1" t="s">
        <v>194</v>
      </c>
      <c r="E138" s="26" t="s">
        <v>491</v>
      </c>
      <c r="F138" s="26">
        <v>2</v>
      </c>
      <c r="G138" s="26" t="s">
        <v>245</v>
      </c>
      <c r="H138" s="26"/>
      <c r="I138" s="8"/>
    </row>
    <row r="139" spans="1:9" x14ac:dyDescent="0.25">
      <c r="A139" s="8" t="s">
        <v>626</v>
      </c>
      <c r="B139" s="1" t="s">
        <v>121</v>
      </c>
      <c r="C139" s="1">
        <v>139</v>
      </c>
      <c r="D139" s="1" t="s">
        <v>194</v>
      </c>
      <c r="E139" s="26" t="s">
        <v>491</v>
      </c>
      <c r="F139" s="26">
        <v>2</v>
      </c>
      <c r="G139" s="26" t="s">
        <v>245</v>
      </c>
      <c r="H139" s="26"/>
      <c r="I139" s="8"/>
    </row>
    <row r="140" spans="1:9" x14ac:dyDescent="0.25">
      <c r="A140" s="8" t="s">
        <v>627</v>
      </c>
      <c r="B140" s="1" t="s">
        <v>121</v>
      </c>
      <c r="C140" s="1">
        <v>140</v>
      </c>
      <c r="D140" s="1" t="s">
        <v>194</v>
      </c>
      <c r="E140" s="26" t="s">
        <v>431</v>
      </c>
      <c r="F140" s="26"/>
      <c r="G140" s="26" t="s">
        <v>288</v>
      </c>
      <c r="H140" s="26"/>
      <c r="I140" s="8"/>
    </row>
    <row r="141" spans="1:9" x14ac:dyDescent="0.25">
      <c r="A141" s="8" t="s">
        <v>628</v>
      </c>
      <c r="B141" s="1" t="s">
        <v>121</v>
      </c>
      <c r="C141" s="1">
        <v>141</v>
      </c>
      <c r="D141" s="1" t="s">
        <v>194</v>
      </c>
      <c r="E141" s="26" t="s">
        <v>431</v>
      </c>
      <c r="F141" s="26"/>
      <c r="G141" s="26" t="s">
        <v>288</v>
      </c>
      <c r="H141" s="26"/>
      <c r="I141" s="8"/>
    </row>
    <row r="142" spans="1:9" x14ac:dyDescent="0.25">
      <c r="A142" s="12" t="s">
        <v>629</v>
      </c>
      <c r="B142" s="1" t="s">
        <v>121</v>
      </c>
      <c r="C142" s="1">
        <v>142</v>
      </c>
      <c r="D142" s="1" t="s">
        <v>194</v>
      </c>
      <c r="E142" s="12" t="s">
        <v>431</v>
      </c>
      <c r="F142" s="12"/>
      <c r="G142" s="12" t="s">
        <v>288</v>
      </c>
      <c r="H142" s="12"/>
      <c r="I142" s="12" t="s">
        <v>488</v>
      </c>
    </row>
    <row r="143" spans="1:9" x14ac:dyDescent="0.25">
      <c r="A143" s="12" t="s">
        <v>630</v>
      </c>
      <c r="B143" s="1" t="s">
        <v>121</v>
      </c>
      <c r="C143" s="1">
        <v>143</v>
      </c>
      <c r="D143" s="1" t="s">
        <v>194</v>
      </c>
      <c r="E143" s="12" t="s">
        <v>431</v>
      </c>
      <c r="F143" s="12"/>
      <c r="G143" s="12" t="s">
        <v>288</v>
      </c>
      <c r="H143" s="12"/>
      <c r="I143" s="12" t="s">
        <v>489</v>
      </c>
    </row>
    <row r="144" spans="1:9" x14ac:dyDescent="0.25">
      <c r="A144" s="12" t="s">
        <v>631</v>
      </c>
      <c r="B144" s="1" t="s">
        <v>121</v>
      </c>
      <c r="C144" s="1">
        <v>144</v>
      </c>
      <c r="D144" s="1" t="s">
        <v>194</v>
      </c>
      <c r="E144" s="12"/>
      <c r="F144" s="12"/>
      <c r="G144" s="12"/>
      <c r="H144" s="12"/>
      <c r="I144" s="12" t="s">
        <v>485</v>
      </c>
    </row>
    <row r="145" spans="1:9" x14ac:dyDescent="0.25">
      <c r="A145" s="12" t="s">
        <v>632</v>
      </c>
      <c r="B145" s="1" t="s">
        <v>121</v>
      </c>
      <c r="C145" s="1">
        <v>145</v>
      </c>
      <c r="D145" s="1" t="s">
        <v>194</v>
      </c>
      <c r="E145" s="12"/>
      <c r="F145" s="12"/>
      <c r="G145" s="12"/>
      <c r="H145" s="12"/>
      <c r="I145" s="12"/>
    </row>
    <row r="146" spans="1:9" x14ac:dyDescent="0.25">
      <c r="A146" s="12" t="s">
        <v>633</v>
      </c>
      <c r="B146" s="1" t="s">
        <v>121</v>
      </c>
      <c r="C146" s="1">
        <v>146</v>
      </c>
      <c r="D146" s="1" t="s">
        <v>194</v>
      </c>
      <c r="E146" s="12"/>
      <c r="F146" s="12"/>
      <c r="G146" s="12"/>
      <c r="H146" s="12"/>
      <c r="I146" s="12"/>
    </row>
    <row r="147" spans="1:9" x14ac:dyDescent="0.25">
      <c r="A147" s="12" t="s">
        <v>634</v>
      </c>
      <c r="B147" s="1" t="s">
        <v>121</v>
      </c>
      <c r="C147" s="1">
        <v>147</v>
      </c>
      <c r="D147" s="1" t="s">
        <v>194</v>
      </c>
      <c r="E147" s="12"/>
      <c r="F147" s="12"/>
      <c r="G147" s="12"/>
      <c r="H147" s="12"/>
      <c r="I147" s="12"/>
    </row>
    <row r="148" spans="1:9" x14ac:dyDescent="0.25">
      <c r="A148" s="12" t="s">
        <v>635</v>
      </c>
      <c r="B148" s="1" t="s">
        <v>121</v>
      </c>
      <c r="C148" s="1">
        <v>148</v>
      </c>
      <c r="D148" s="1" t="s">
        <v>194</v>
      </c>
      <c r="E148" s="12"/>
      <c r="F148" s="12"/>
      <c r="G148" s="12"/>
      <c r="H148" s="12"/>
      <c r="I148" s="12"/>
    </row>
    <row r="149" spans="1:9" x14ac:dyDescent="0.25">
      <c r="A149" s="12" t="s">
        <v>636</v>
      </c>
      <c r="B149" s="1" t="s">
        <v>121</v>
      </c>
      <c r="C149" s="1">
        <v>149</v>
      </c>
      <c r="D149" s="1" t="s">
        <v>194</v>
      </c>
      <c r="E149" s="12"/>
      <c r="F149" s="12"/>
      <c r="G149" s="12"/>
      <c r="H149" s="12"/>
      <c r="I149" s="12"/>
    </row>
    <row r="150" spans="1:9" x14ac:dyDescent="0.25">
      <c r="A150" s="12" t="s">
        <v>637</v>
      </c>
      <c r="B150" s="1" t="s">
        <v>121</v>
      </c>
      <c r="C150" s="1">
        <v>150</v>
      </c>
      <c r="D150" s="1" t="s">
        <v>194</v>
      </c>
      <c r="E150" s="12"/>
      <c r="F150" s="12"/>
      <c r="G150" s="12"/>
      <c r="H150" s="12"/>
      <c r="I150" s="12"/>
    </row>
    <row r="151" spans="1:9" x14ac:dyDescent="0.25">
      <c r="A151" s="12" t="s">
        <v>638</v>
      </c>
      <c r="B151" s="1" t="s">
        <v>121</v>
      </c>
      <c r="C151" s="1">
        <v>151</v>
      </c>
      <c r="D151" s="1" t="s">
        <v>194</v>
      </c>
      <c r="E151" s="12"/>
      <c r="F151" s="12"/>
      <c r="G151" s="12"/>
      <c r="H151" s="12"/>
      <c r="I151" s="12"/>
    </row>
    <row r="152" spans="1:9" x14ac:dyDescent="0.25">
      <c r="A152" s="12" t="s">
        <v>639</v>
      </c>
      <c r="B152" s="1" t="s">
        <v>121</v>
      </c>
      <c r="C152" s="1">
        <v>152</v>
      </c>
      <c r="D152" s="1" t="s">
        <v>194</v>
      </c>
      <c r="E152" s="12"/>
      <c r="F152" s="12"/>
      <c r="G152" s="12"/>
      <c r="H152" s="12"/>
      <c r="I152" s="12"/>
    </row>
    <row r="153" spans="1:9" x14ac:dyDescent="0.25">
      <c r="A153" s="12" t="s">
        <v>640</v>
      </c>
      <c r="B153" s="1" t="s">
        <v>121</v>
      </c>
      <c r="C153" s="1">
        <v>153</v>
      </c>
      <c r="D153" s="1" t="s">
        <v>194</v>
      </c>
      <c r="E153" s="12"/>
      <c r="F153" s="12"/>
      <c r="G153" s="12"/>
      <c r="H153" s="12"/>
      <c r="I153" s="12"/>
    </row>
    <row r="154" spans="1:9" x14ac:dyDescent="0.25">
      <c r="A154" s="12" t="s">
        <v>641</v>
      </c>
      <c r="B154" s="1" t="s">
        <v>121</v>
      </c>
      <c r="C154" s="1">
        <v>154</v>
      </c>
      <c r="D154" s="1" t="s">
        <v>194</v>
      </c>
      <c r="E154" s="12"/>
      <c r="F154" s="12"/>
      <c r="G154" s="12"/>
      <c r="H154" s="12"/>
      <c r="I154" s="12"/>
    </row>
    <row r="155" spans="1:9" x14ac:dyDescent="0.25">
      <c r="A155" s="12" t="s">
        <v>642</v>
      </c>
      <c r="B155" s="1" t="s">
        <v>121</v>
      </c>
      <c r="C155" s="1">
        <v>155</v>
      </c>
      <c r="D155" s="1" t="s">
        <v>194</v>
      </c>
      <c r="E155" s="12"/>
      <c r="F155" s="12"/>
      <c r="G155" s="12"/>
      <c r="H155" s="12"/>
      <c r="I155" s="12"/>
    </row>
    <row r="156" spans="1:9" x14ac:dyDescent="0.25">
      <c r="A156" s="12" t="s">
        <v>643</v>
      </c>
      <c r="B156" s="1" t="s">
        <v>121</v>
      </c>
      <c r="C156" s="1">
        <v>156</v>
      </c>
      <c r="D156" s="1" t="s">
        <v>194</v>
      </c>
      <c r="E156" s="12"/>
      <c r="F156" s="12"/>
      <c r="G156" s="12"/>
      <c r="H156" s="12"/>
      <c r="I156" s="12"/>
    </row>
    <row r="157" spans="1:9" x14ac:dyDescent="0.25">
      <c r="A157" s="12" t="s">
        <v>644</v>
      </c>
      <c r="B157" s="1" t="s">
        <v>121</v>
      </c>
      <c r="C157" s="1">
        <v>157</v>
      </c>
      <c r="D157" s="1" t="s">
        <v>194</v>
      </c>
      <c r="E157" s="12"/>
      <c r="F157" s="12"/>
      <c r="G157" s="12"/>
      <c r="H157" s="12"/>
      <c r="I157" s="12"/>
    </row>
    <row r="158" spans="1:9" x14ac:dyDescent="0.25">
      <c r="A158" s="12" t="s">
        <v>645</v>
      </c>
      <c r="B158" s="1" t="s">
        <v>121</v>
      </c>
      <c r="C158" s="1">
        <v>158</v>
      </c>
      <c r="D158" s="1" t="s">
        <v>194</v>
      </c>
      <c r="E158" s="12"/>
      <c r="F158" s="12"/>
      <c r="G158" s="12"/>
      <c r="H158" s="12"/>
      <c r="I158" s="12"/>
    </row>
    <row r="159" spans="1:9" x14ac:dyDescent="0.25">
      <c r="A159" s="12" t="s">
        <v>646</v>
      </c>
      <c r="B159" s="1" t="s">
        <v>121</v>
      </c>
      <c r="C159" s="1">
        <v>159</v>
      </c>
      <c r="D159" s="1" t="s">
        <v>194</v>
      </c>
      <c r="E159" s="12"/>
      <c r="F159" s="12"/>
      <c r="G159" s="12"/>
      <c r="H159" s="12"/>
      <c r="I159" s="12"/>
    </row>
    <row r="160" spans="1:9" x14ac:dyDescent="0.25">
      <c r="A160" s="12" t="s">
        <v>647</v>
      </c>
      <c r="B160" s="1" t="s">
        <v>121</v>
      </c>
      <c r="C160" s="1">
        <v>160</v>
      </c>
      <c r="D160" s="1" t="s">
        <v>194</v>
      </c>
      <c r="E160" s="12"/>
      <c r="F160" s="12"/>
      <c r="G160" s="12"/>
      <c r="H160" s="12"/>
      <c r="I160" s="12"/>
    </row>
    <row r="161" spans="1:9" x14ac:dyDescent="0.25">
      <c r="A161" s="12" t="s">
        <v>648</v>
      </c>
      <c r="B161" s="1" t="s">
        <v>121</v>
      </c>
      <c r="C161" s="1">
        <v>161</v>
      </c>
      <c r="D161" s="1" t="s">
        <v>194</v>
      </c>
      <c r="E161" s="12"/>
      <c r="F161" s="12"/>
      <c r="G161" s="12"/>
      <c r="H161" s="12"/>
      <c r="I161" s="12"/>
    </row>
    <row r="162" spans="1:9" x14ac:dyDescent="0.25">
      <c r="A162" s="12" t="s">
        <v>649</v>
      </c>
      <c r="B162" s="1" t="s">
        <v>121</v>
      </c>
      <c r="C162" s="1">
        <v>162</v>
      </c>
      <c r="D162" s="1" t="s">
        <v>194</v>
      </c>
      <c r="E162" s="12"/>
      <c r="F162" s="12"/>
      <c r="G162" s="12"/>
      <c r="H162" s="12"/>
      <c r="I162" s="12"/>
    </row>
    <row r="163" spans="1:9" x14ac:dyDescent="0.25">
      <c r="A163" s="12" t="s">
        <v>650</v>
      </c>
      <c r="B163" s="1" t="s">
        <v>121</v>
      </c>
      <c r="C163" s="1">
        <v>163</v>
      </c>
      <c r="D163" s="1" t="s">
        <v>194</v>
      </c>
      <c r="E163" s="12"/>
      <c r="F163" s="12"/>
      <c r="G163" s="12"/>
      <c r="H163" s="12"/>
      <c r="I163" s="12"/>
    </row>
    <row r="164" spans="1:9" x14ac:dyDescent="0.25">
      <c r="A164" s="12" t="s">
        <v>651</v>
      </c>
      <c r="B164" s="1" t="s">
        <v>121</v>
      </c>
      <c r="C164" s="1">
        <v>164</v>
      </c>
      <c r="D164" s="1" t="s">
        <v>194</v>
      </c>
      <c r="E164" s="12"/>
      <c r="F164" s="12"/>
      <c r="G164" s="12"/>
      <c r="H164" s="12"/>
      <c r="I164" s="12"/>
    </row>
    <row r="165" spans="1:9" x14ac:dyDescent="0.25">
      <c r="A165" s="12" t="s">
        <v>652</v>
      </c>
      <c r="B165" s="1" t="s">
        <v>121</v>
      </c>
      <c r="C165" s="1">
        <v>165</v>
      </c>
      <c r="D165" s="1" t="s">
        <v>194</v>
      </c>
      <c r="E165" s="12"/>
      <c r="F165" s="12"/>
      <c r="G165" s="12"/>
      <c r="H165" s="12"/>
      <c r="I165" s="12"/>
    </row>
    <row r="166" spans="1:9" x14ac:dyDescent="0.25">
      <c r="A166" s="12" t="s">
        <v>653</v>
      </c>
      <c r="B166" s="1" t="s">
        <v>121</v>
      </c>
      <c r="C166" s="1">
        <v>166</v>
      </c>
      <c r="D166" s="1" t="s">
        <v>194</v>
      </c>
      <c r="E166" s="12"/>
      <c r="F166" s="12"/>
      <c r="G166" s="12"/>
      <c r="H166" s="12"/>
      <c r="I166" s="12"/>
    </row>
    <row r="167" spans="1:9" x14ac:dyDescent="0.25">
      <c r="A167" s="12" t="s">
        <v>654</v>
      </c>
      <c r="B167" s="1" t="s">
        <v>121</v>
      </c>
      <c r="C167" s="1">
        <v>167</v>
      </c>
      <c r="D167" s="1" t="s">
        <v>194</v>
      </c>
      <c r="E167" s="12"/>
      <c r="F167" s="12"/>
      <c r="G167" s="12"/>
      <c r="H167" s="12"/>
      <c r="I167" s="12"/>
    </row>
    <row r="168" spans="1:9" x14ac:dyDescent="0.25">
      <c r="A168" s="12" t="s">
        <v>655</v>
      </c>
      <c r="B168" s="1" t="s">
        <v>121</v>
      </c>
      <c r="C168" s="1">
        <v>168</v>
      </c>
      <c r="D168" s="1" t="s">
        <v>194</v>
      </c>
      <c r="E168" s="12"/>
      <c r="F168" s="12"/>
      <c r="G168" s="12"/>
      <c r="H168" s="12"/>
      <c r="I168" s="12"/>
    </row>
    <row r="169" spans="1:9" x14ac:dyDescent="0.25">
      <c r="A169" s="12" t="s">
        <v>656</v>
      </c>
      <c r="B169" s="1" t="s">
        <v>121</v>
      </c>
      <c r="C169" s="1">
        <v>169</v>
      </c>
      <c r="D169" s="1" t="s">
        <v>194</v>
      </c>
      <c r="E169" s="12"/>
      <c r="F169" s="12"/>
      <c r="G169" s="12"/>
      <c r="H169" s="12"/>
      <c r="I169" s="12"/>
    </row>
    <row r="170" spans="1:9" x14ac:dyDescent="0.25">
      <c r="A170" s="18" t="s">
        <v>657</v>
      </c>
      <c r="B170" s="1" t="s">
        <v>121</v>
      </c>
      <c r="C170" s="1">
        <v>170</v>
      </c>
      <c r="D170" s="1" t="s">
        <v>194</v>
      </c>
      <c r="E170" s="18" t="s">
        <v>431</v>
      </c>
      <c r="F170" s="18"/>
      <c r="G170" s="18" t="s">
        <v>288</v>
      </c>
      <c r="H170" s="18"/>
      <c r="I170" s="18" t="s">
        <v>488</v>
      </c>
    </row>
    <row r="171" spans="1:9" x14ac:dyDescent="0.25">
      <c r="A171" s="18" t="s">
        <v>658</v>
      </c>
      <c r="B171" s="1" t="s">
        <v>121</v>
      </c>
      <c r="C171" s="1">
        <v>171</v>
      </c>
      <c r="D171" s="1" t="s">
        <v>194</v>
      </c>
      <c r="E171" s="18" t="s">
        <v>431</v>
      </c>
      <c r="F171" s="18"/>
      <c r="G171" s="18" t="s">
        <v>288</v>
      </c>
      <c r="H171" s="18"/>
      <c r="I171" s="18" t="s">
        <v>489</v>
      </c>
    </row>
    <row r="172" spans="1:9" x14ac:dyDescent="0.25">
      <c r="A172" s="18" t="s">
        <v>659</v>
      </c>
      <c r="B172" s="1" t="s">
        <v>121</v>
      </c>
      <c r="C172" s="1">
        <v>172</v>
      </c>
      <c r="D172" s="1" t="s">
        <v>194</v>
      </c>
      <c r="E172" s="18"/>
      <c r="F172" s="18"/>
      <c r="G172" s="18"/>
      <c r="H172" s="18"/>
      <c r="I172" s="18" t="s">
        <v>413</v>
      </c>
    </row>
    <row r="173" spans="1:9" x14ac:dyDescent="0.25">
      <c r="A173" s="18" t="s">
        <v>660</v>
      </c>
      <c r="B173" s="1" t="s">
        <v>121</v>
      </c>
      <c r="C173" s="1">
        <v>173</v>
      </c>
      <c r="D173" s="1" t="s">
        <v>194</v>
      </c>
      <c r="E173" s="18"/>
      <c r="F173" s="18"/>
      <c r="G173" s="18"/>
      <c r="H173" s="18"/>
      <c r="I173" s="18" t="s">
        <v>414</v>
      </c>
    </row>
    <row r="174" spans="1:9" x14ac:dyDescent="0.25">
      <c r="A174" s="18" t="s">
        <v>661</v>
      </c>
      <c r="B174" s="1" t="s">
        <v>121</v>
      </c>
      <c r="C174" s="1">
        <v>174</v>
      </c>
      <c r="D174" s="1" t="s">
        <v>194</v>
      </c>
      <c r="E174" s="18"/>
      <c r="F174" s="18"/>
      <c r="G174" s="18"/>
      <c r="H174" s="18"/>
      <c r="I174" s="18" t="s">
        <v>415</v>
      </c>
    </row>
    <row r="175" spans="1:9" x14ac:dyDescent="0.25">
      <c r="A175" s="18" t="s">
        <v>662</v>
      </c>
      <c r="B175" s="1" t="s">
        <v>121</v>
      </c>
      <c r="C175" s="1">
        <v>175</v>
      </c>
      <c r="D175" s="1" t="s">
        <v>194</v>
      </c>
      <c r="E175" s="18"/>
      <c r="F175" s="18"/>
      <c r="G175" s="18"/>
      <c r="H175" s="18"/>
      <c r="I175" s="18" t="s">
        <v>416</v>
      </c>
    </row>
    <row r="176" spans="1:9" x14ac:dyDescent="0.25">
      <c r="A176" s="18" t="s">
        <v>663</v>
      </c>
      <c r="B176" s="1" t="s">
        <v>121</v>
      </c>
      <c r="C176" s="1">
        <v>176</v>
      </c>
      <c r="D176" s="1" t="s">
        <v>194</v>
      </c>
      <c r="E176" s="18"/>
      <c r="F176" s="18"/>
      <c r="G176" s="18"/>
      <c r="H176" s="18"/>
      <c r="I176" s="18" t="s">
        <v>417</v>
      </c>
    </row>
    <row r="177" spans="1:9" x14ac:dyDescent="0.25">
      <c r="A177" s="18" t="s">
        <v>664</v>
      </c>
      <c r="B177" s="1" t="s">
        <v>121</v>
      </c>
      <c r="C177" s="1">
        <v>177</v>
      </c>
      <c r="D177" s="1" t="s">
        <v>194</v>
      </c>
      <c r="E177" s="18"/>
      <c r="F177" s="18"/>
      <c r="G177" s="18"/>
      <c r="H177" s="18"/>
      <c r="I177" s="18" t="s">
        <v>418</v>
      </c>
    </row>
    <row r="178" spans="1:9" x14ac:dyDescent="0.25">
      <c r="A178" s="18" t="s">
        <v>665</v>
      </c>
      <c r="B178" s="1" t="s">
        <v>121</v>
      </c>
      <c r="C178" s="1">
        <v>178</v>
      </c>
      <c r="D178" s="1" t="s">
        <v>194</v>
      </c>
      <c r="E178" s="18"/>
      <c r="F178" s="18"/>
      <c r="G178" s="18"/>
      <c r="H178" s="18"/>
      <c r="I178" s="18" t="s">
        <v>420</v>
      </c>
    </row>
    <row r="179" spans="1:9" x14ac:dyDescent="0.25">
      <c r="A179" s="18" t="s">
        <v>666</v>
      </c>
      <c r="B179" s="1" t="s">
        <v>121</v>
      </c>
      <c r="C179" s="1">
        <v>179</v>
      </c>
      <c r="D179" s="1" t="s">
        <v>194</v>
      </c>
      <c r="E179" s="18"/>
      <c r="F179" s="18"/>
      <c r="G179" s="18"/>
      <c r="H179" s="18"/>
      <c r="I179" s="18" t="s">
        <v>422</v>
      </c>
    </row>
    <row r="180" spans="1:9" x14ac:dyDescent="0.25">
      <c r="A180" s="18" t="s">
        <v>667</v>
      </c>
      <c r="B180" s="1" t="s">
        <v>121</v>
      </c>
      <c r="C180" s="1">
        <v>180</v>
      </c>
      <c r="D180" s="1" t="s">
        <v>194</v>
      </c>
      <c r="E180" s="18"/>
      <c r="F180" s="18"/>
      <c r="G180" s="18"/>
      <c r="H180" s="18"/>
      <c r="I180" s="18" t="s">
        <v>421</v>
      </c>
    </row>
    <row r="181" spans="1:9" x14ac:dyDescent="0.25">
      <c r="A181" s="18" t="s">
        <v>668</v>
      </c>
      <c r="B181" s="1" t="s">
        <v>121</v>
      </c>
      <c r="C181" s="1">
        <v>181</v>
      </c>
      <c r="D181" s="1" t="s">
        <v>194</v>
      </c>
      <c r="E181" s="18"/>
      <c r="F181" s="18"/>
      <c r="G181" s="18"/>
      <c r="H181" s="18"/>
      <c r="I181" s="18" t="s">
        <v>193</v>
      </c>
    </row>
    <row r="182" spans="1:9" x14ac:dyDescent="0.25">
      <c r="A182" s="18" t="s">
        <v>669</v>
      </c>
      <c r="B182" s="1" t="s">
        <v>121</v>
      </c>
      <c r="C182" s="1">
        <v>182</v>
      </c>
      <c r="D182" s="1" t="s">
        <v>194</v>
      </c>
      <c r="E182" s="18"/>
      <c r="F182" s="18"/>
      <c r="G182" s="18"/>
      <c r="H182" s="18"/>
      <c r="I182" s="18" t="s">
        <v>228</v>
      </c>
    </row>
    <row r="183" spans="1:9" x14ac:dyDescent="0.25">
      <c r="A183" s="18" t="s">
        <v>670</v>
      </c>
      <c r="B183" s="1" t="s">
        <v>121</v>
      </c>
      <c r="C183" s="1">
        <v>183</v>
      </c>
      <c r="D183" s="1" t="s">
        <v>194</v>
      </c>
      <c r="E183" s="18"/>
      <c r="F183" s="18"/>
      <c r="G183" s="18"/>
      <c r="H183" s="18"/>
      <c r="I183" s="18" t="s">
        <v>229</v>
      </c>
    </row>
    <row r="184" spans="1:9" x14ac:dyDescent="0.25">
      <c r="A184" s="18" t="s">
        <v>671</v>
      </c>
      <c r="B184" s="1" t="s">
        <v>121</v>
      </c>
      <c r="C184" s="1">
        <v>184</v>
      </c>
      <c r="D184" s="1" t="s">
        <v>194</v>
      </c>
      <c r="E184" s="18"/>
      <c r="F184" s="18"/>
      <c r="G184" s="18"/>
      <c r="H184" s="18"/>
      <c r="I184" s="18" t="s">
        <v>425</v>
      </c>
    </row>
    <row r="185" spans="1:9" x14ac:dyDescent="0.25">
      <c r="A185" s="18" t="s">
        <v>672</v>
      </c>
      <c r="B185" s="1" t="s">
        <v>121</v>
      </c>
      <c r="C185" s="1">
        <v>185</v>
      </c>
      <c r="D185" s="1" t="s">
        <v>194</v>
      </c>
      <c r="E185" s="18"/>
      <c r="F185" s="18"/>
      <c r="G185" s="18"/>
      <c r="H185" s="18"/>
      <c r="I185" s="18" t="s">
        <v>425</v>
      </c>
    </row>
    <row r="186" spans="1:9" x14ac:dyDescent="0.25">
      <c r="A186" s="18" t="s">
        <v>673</v>
      </c>
      <c r="B186" s="1" t="s">
        <v>121</v>
      </c>
      <c r="C186" s="1">
        <v>186</v>
      </c>
      <c r="D186" s="1" t="s">
        <v>194</v>
      </c>
      <c r="E186" s="18"/>
      <c r="F186" s="18"/>
      <c r="G186" s="18"/>
      <c r="H186" s="18"/>
      <c r="I186" s="18" t="s">
        <v>425</v>
      </c>
    </row>
    <row r="187" spans="1:9" x14ac:dyDescent="0.25">
      <c r="B187" s="1"/>
      <c r="C187" s="1"/>
    </row>
    <row r="188" spans="1:9" x14ac:dyDescent="0.25">
      <c r="B188" s="1"/>
    </row>
    <row r="189" spans="1:9" x14ac:dyDescent="0.25">
      <c r="B189" s="1"/>
    </row>
    <row r="190" spans="1:9" x14ac:dyDescent="0.25">
      <c r="B190" s="1"/>
    </row>
    <row r="191" spans="1:9" x14ac:dyDescent="0.25">
      <c r="B191" s="1"/>
    </row>
    <row r="192" spans="1:9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EEEE-ACC8-474D-B51E-D8A00876650E}">
  <sheetPr codeName="Sheet13"/>
  <dimension ref="A1:I200"/>
  <sheetViews>
    <sheetView topLeftCell="A46" workbookViewId="0">
      <selection sqref="A1:A186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9" t="s">
        <v>3</v>
      </c>
      <c r="B1" s="1" t="s">
        <v>121</v>
      </c>
      <c r="C1" s="1">
        <v>1</v>
      </c>
      <c r="D1" s="1" t="s">
        <v>194</v>
      </c>
      <c r="E1" s="4" t="s">
        <v>431</v>
      </c>
      <c r="F1" s="4"/>
      <c r="G1" s="4" t="s">
        <v>288</v>
      </c>
      <c r="H1" s="4"/>
      <c r="I1" s="9" t="s">
        <v>437</v>
      </c>
    </row>
    <row r="2" spans="1:9" x14ac:dyDescent="0.25">
      <c r="A2" s="9" t="s">
        <v>430</v>
      </c>
      <c r="B2" s="1" t="s">
        <v>121</v>
      </c>
      <c r="C2" s="1">
        <v>2</v>
      </c>
      <c r="D2" s="1" t="s">
        <v>194</v>
      </c>
      <c r="E2" s="4" t="s">
        <v>431</v>
      </c>
      <c r="F2" s="4"/>
      <c r="G2" s="4" t="s">
        <v>288</v>
      </c>
      <c r="H2" s="4"/>
      <c r="I2" s="9" t="s">
        <v>434</v>
      </c>
    </row>
    <row r="3" spans="1:9" x14ac:dyDescent="0.25">
      <c r="A3" s="13" t="s">
        <v>271</v>
      </c>
      <c r="B3" s="1" t="s">
        <v>121</v>
      </c>
      <c r="C3" s="1">
        <v>3</v>
      </c>
      <c r="D3" s="1" t="s">
        <v>194</v>
      </c>
      <c r="E3" s="3" t="s">
        <v>273</v>
      </c>
      <c r="F3" s="3"/>
      <c r="G3" s="3" t="s">
        <v>276</v>
      </c>
      <c r="H3" s="3"/>
      <c r="I3" s="13" t="s">
        <v>274</v>
      </c>
    </row>
    <row r="4" spans="1:9" x14ac:dyDescent="0.25">
      <c r="A4" s="13" t="s">
        <v>3</v>
      </c>
      <c r="B4" s="1" t="s">
        <v>121</v>
      </c>
      <c r="C4" s="1">
        <v>4</v>
      </c>
      <c r="D4" s="1" t="s">
        <v>194</v>
      </c>
      <c r="E4" s="3" t="s">
        <v>73</v>
      </c>
      <c r="F4" s="3"/>
      <c r="G4" s="3" t="s">
        <v>276</v>
      </c>
      <c r="H4" s="3"/>
      <c r="I4" s="13" t="s">
        <v>277</v>
      </c>
    </row>
    <row r="5" spans="1:9" x14ac:dyDescent="0.25">
      <c r="A5" s="13" t="s">
        <v>674</v>
      </c>
      <c r="B5" s="1" t="s">
        <v>121</v>
      </c>
      <c r="C5" s="1">
        <v>5</v>
      </c>
      <c r="D5" s="1" t="s">
        <v>194</v>
      </c>
      <c r="E5" s="3" t="s">
        <v>275</v>
      </c>
      <c r="F5" s="3"/>
      <c r="G5" s="3" t="s">
        <v>276</v>
      </c>
      <c r="H5" s="3"/>
      <c r="I5" s="13" t="s">
        <v>409</v>
      </c>
    </row>
    <row r="6" spans="1:9" x14ac:dyDescent="0.25">
      <c r="A6" s="13" t="s">
        <v>186</v>
      </c>
      <c r="B6" s="1" t="s">
        <v>121</v>
      </c>
      <c r="C6" s="1">
        <v>6</v>
      </c>
      <c r="D6" s="1" t="s">
        <v>194</v>
      </c>
      <c r="E6" s="3" t="s">
        <v>68</v>
      </c>
      <c r="F6" s="3"/>
      <c r="G6" s="3" t="s">
        <v>276</v>
      </c>
      <c r="H6" s="3"/>
      <c r="I6" s="13" t="s">
        <v>270</v>
      </c>
    </row>
    <row r="7" spans="1:9" x14ac:dyDescent="0.25">
      <c r="A7" s="13" t="s">
        <v>187</v>
      </c>
      <c r="B7" s="1" t="s">
        <v>121</v>
      </c>
      <c r="C7" s="1">
        <v>7</v>
      </c>
      <c r="D7" s="1" t="s">
        <v>194</v>
      </c>
      <c r="E7" s="3" t="s">
        <v>69</v>
      </c>
      <c r="F7" s="3"/>
      <c r="G7" s="3" t="s">
        <v>276</v>
      </c>
      <c r="H7" s="3"/>
      <c r="I7" s="13" t="s">
        <v>279</v>
      </c>
    </row>
    <row r="8" spans="1:9" x14ac:dyDescent="0.25">
      <c r="A8" s="13" t="s">
        <v>188</v>
      </c>
      <c r="B8" s="1" t="s">
        <v>121</v>
      </c>
      <c r="C8" s="1">
        <v>8</v>
      </c>
      <c r="D8" s="1" t="s">
        <v>194</v>
      </c>
      <c r="E8" s="3" t="s">
        <v>70</v>
      </c>
      <c r="F8" s="3"/>
      <c r="G8" s="3" t="s">
        <v>276</v>
      </c>
      <c r="H8" s="3"/>
      <c r="I8" s="13" t="s">
        <v>280</v>
      </c>
    </row>
    <row r="9" spans="1:9" x14ac:dyDescent="0.25">
      <c r="A9" s="13" t="s">
        <v>189</v>
      </c>
      <c r="B9" s="1" t="s">
        <v>121</v>
      </c>
      <c r="C9" s="1">
        <v>9</v>
      </c>
      <c r="D9" s="1" t="s">
        <v>194</v>
      </c>
      <c r="E9" s="3" t="s">
        <v>291</v>
      </c>
      <c r="F9" s="3"/>
      <c r="G9" s="3" t="s">
        <v>276</v>
      </c>
      <c r="H9" s="3"/>
      <c r="I9" s="13" t="s">
        <v>281</v>
      </c>
    </row>
    <row r="10" spans="1:9" x14ac:dyDescent="0.25">
      <c r="A10" s="13" t="s">
        <v>272</v>
      </c>
      <c r="B10" s="1" t="s">
        <v>121</v>
      </c>
      <c r="C10" s="1">
        <v>10</v>
      </c>
      <c r="D10" s="1" t="s">
        <v>194</v>
      </c>
      <c r="E10" s="3" t="s">
        <v>283</v>
      </c>
      <c r="F10" s="3"/>
      <c r="G10" s="3" t="s">
        <v>276</v>
      </c>
      <c r="H10" s="3"/>
      <c r="I10" s="13" t="s">
        <v>282</v>
      </c>
    </row>
    <row r="11" spans="1:9" x14ac:dyDescent="0.25">
      <c r="A11" s="13" t="s">
        <v>23</v>
      </c>
      <c r="B11" s="1" t="s">
        <v>121</v>
      </c>
      <c r="C11" s="1">
        <v>11</v>
      </c>
      <c r="D11" s="1" t="s">
        <v>194</v>
      </c>
      <c r="E11" s="3" t="s">
        <v>72</v>
      </c>
      <c r="F11" s="3"/>
      <c r="G11" s="3" t="s">
        <v>276</v>
      </c>
      <c r="H11" s="3"/>
      <c r="I11" s="13" t="s">
        <v>362</v>
      </c>
    </row>
    <row r="12" spans="1:9" x14ac:dyDescent="0.25">
      <c r="A12" s="13" t="s">
        <v>4</v>
      </c>
      <c r="B12" s="1" t="s">
        <v>121</v>
      </c>
      <c r="C12" s="1">
        <v>12</v>
      </c>
      <c r="D12" s="1" t="s">
        <v>194</v>
      </c>
      <c r="E12" s="3" t="s">
        <v>71</v>
      </c>
      <c r="F12" s="3"/>
      <c r="G12" s="3" t="s">
        <v>276</v>
      </c>
      <c r="H12" s="3"/>
      <c r="I12" s="13" t="s">
        <v>363</v>
      </c>
    </row>
    <row r="13" spans="1:9" x14ac:dyDescent="0.25">
      <c r="A13" s="13" t="s">
        <v>183</v>
      </c>
      <c r="B13" s="1" t="s">
        <v>121</v>
      </c>
      <c r="C13" s="1">
        <v>13</v>
      </c>
      <c r="D13" s="1" t="s">
        <v>194</v>
      </c>
      <c r="E13" s="3" t="s">
        <v>80</v>
      </c>
      <c r="F13" s="3"/>
      <c r="G13" s="3" t="s">
        <v>276</v>
      </c>
      <c r="H13" s="3"/>
      <c r="I13" s="13" t="s">
        <v>350</v>
      </c>
    </row>
    <row r="14" spans="1:9" x14ac:dyDescent="0.25">
      <c r="A14" s="13" t="s">
        <v>184</v>
      </c>
      <c r="B14" s="1" t="s">
        <v>121</v>
      </c>
      <c r="C14" s="1">
        <v>14</v>
      </c>
      <c r="D14" s="1" t="s">
        <v>194</v>
      </c>
      <c r="E14" s="3" t="s">
        <v>81</v>
      </c>
      <c r="F14" s="3"/>
      <c r="G14" s="3" t="s">
        <v>276</v>
      </c>
      <c r="H14" s="3"/>
      <c r="I14" s="13" t="s">
        <v>351</v>
      </c>
    </row>
    <row r="15" spans="1:9" x14ac:dyDescent="0.25">
      <c r="A15" s="13" t="s">
        <v>185</v>
      </c>
      <c r="B15" s="1" t="s">
        <v>121</v>
      </c>
      <c r="C15" s="1">
        <v>15</v>
      </c>
      <c r="D15" s="1" t="s">
        <v>194</v>
      </c>
      <c r="E15" s="3" t="s">
        <v>82</v>
      </c>
      <c r="F15" s="3"/>
      <c r="G15" s="3" t="s">
        <v>276</v>
      </c>
      <c r="H15" s="3"/>
      <c r="I15" s="13" t="s">
        <v>352</v>
      </c>
    </row>
    <row r="16" spans="1:9" x14ac:dyDescent="0.25">
      <c r="A16" s="13" t="s">
        <v>190</v>
      </c>
      <c r="B16" s="1" t="s">
        <v>121</v>
      </c>
      <c r="C16" s="1">
        <v>16</v>
      </c>
      <c r="D16" s="1" t="s">
        <v>194</v>
      </c>
      <c r="E16" s="3" t="s">
        <v>284</v>
      </c>
      <c r="F16" s="3"/>
      <c r="G16" s="3" t="s">
        <v>276</v>
      </c>
      <c r="H16" s="3"/>
      <c r="I16" s="13" t="s">
        <v>353</v>
      </c>
    </row>
    <row r="17" spans="1:9" x14ac:dyDescent="0.25">
      <c r="A17" s="13" t="s">
        <v>191</v>
      </c>
      <c r="B17" s="1" t="s">
        <v>121</v>
      </c>
      <c r="C17" s="1">
        <v>17</v>
      </c>
      <c r="D17" s="1" t="s">
        <v>194</v>
      </c>
      <c r="E17" s="3" t="s">
        <v>285</v>
      </c>
      <c r="F17" s="3"/>
      <c r="G17" s="3" t="s">
        <v>276</v>
      </c>
      <c r="H17" s="3"/>
      <c r="I17" s="13" t="s">
        <v>354</v>
      </c>
    </row>
    <row r="18" spans="1:9" x14ac:dyDescent="0.25">
      <c r="A18" s="13" t="s">
        <v>192</v>
      </c>
      <c r="B18" s="1" t="s">
        <v>121</v>
      </c>
      <c r="C18" s="1">
        <v>18</v>
      </c>
      <c r="D18" s="1" t="s">
        <v>194</v>
      </c>
      <c r="E18" s="3" t="s">
        <v>286</v>
      </c>
      <c r="F18" s="3"/>
      <c r="G18" s="3" t="s">
        <v>276</v>
      </c>
      <c r="H18" s="3"/>
      <c r="I18" s="13" t="s">
        <v>355</v>
      </c>
    </row>
    <row r="19" spans="1:9" x14ac:dyDescent="0.25">
      <c r="A19" s="13" t="s">
        <v>28</v>
      </c>
      <c r="B19" s="1" t="s">
        <v>121</v>
      </c>
      <c r="C19" s="1">
        <v>19</v>
      </c>
      <c r="D19" s="1" t="s">
        <v>194</v>
      </c>
      <c r="E19" s="3" t="s">
        <v>74</v>
      </c>
      <c r="F19" s="3"/>
      <c r="G19" s="3" t="s">
        <v>276</v>
      </c>
      <c r="H19" s="3"/>
      <c r="I19" s="13" t="s">
        <v>356</v>
      </c>
    </row>
    <row r="20" spans="1:9" x14ac:dyDescent="0.25">
      <c r="A20" s="13" t="s">
        <v>29</v>
      </c>
      <c r="B20" s="1" t="s">
        <v>121</v>
      </c>
      <c r="C20" s="1">
        <v>20</v>
      </c>
      <c r="D20" s="1" t="s">
        <v>194</v>
      </c>
      <c r="E20" s="3" t="s">
        <v>75</v>
      </c>
      <c r="F20" s="3"/>
      <c r="G20" s="3" t="s">
        <v>276</v>
      </c>
      <c r="H20" s="3"/>
      <c r="I20" s="13" t="s">
        <v>357</v>
      </c>
    </row>
    <row r="21" spans="1:9" x14ac:dyDescent="0.25">
      <c r="A21" s="13" t="s">
        <v>30</v>
      </c>
      <c r="B21" s="1" t="s">
        <v>121</v>
      </c>
      <c r="C21" s="1">
        <v>21</v>
      </c>
      <c r="D21" s="1" t="s">
        <v>194</v>
      </c>
      <c r="E21" s="3" t="s">
        <v>76</v>
      </c>
      <c r="F21" s="3"/>
      <c r="G21" s="3" t="s">
        <v>276</v>
      </c>
      <c r="H21" s="3"/>
      <c r="I21" s="13" t="s">
        <v>358</v>
      </c>
    </row>
    <row r="22" spans="1:9" x14ac:dyDescent="0.25">
      <c r="A22" s="13" t="s">
        <v>31</v>
      </c>
      <c r="B22" s="1" t="s">
        <v>121</v>
      </c>
      <c r="C22" s="1">
        <v>22</v>
      </c>
      <c r="D22" s="1" t="s">
        <v>194</v>
      </c>
      <c r="E22" s="3" t="s">
        <v>77</v>
      </c>
      <c r="F22" s="3"/>
      <c r="G22" s="3" t="s">
        <v>276</v>
      </c>
      <c r="H22" s="3"/>
      <c r="I22" s="13" t="s">
        <v>359</v>
      </c>
    </row>
    <row r="23" spans="1:9" x14ac:dyDescent="0.25">
      <c r="A23" s="13" t="s">
        <v>32</v>
      </c>
      <c r="B23" s="1" t="s">
        <v>121</v>
      </c>
      <c r="C23" s="1">
        <v>23</v>
      </c>
      <c r="D23" s="1" t="s">
        <v>194</v>
      </c>
      <c r="E23" s="3" t="s">
        <v>78</v>
      </c>
      <c r="F23" s="3"/>
      <c r="G23" s="3" t="s">
        <v>276</v>
      </c>
      <c r="H23" s="3"/>
      <c r="I23" s="13" t="s">
        <v>360</v>
      </c>
    </row>
    <row r="24" spans="1:9" x14ac:dyDescent="0.25">
      <c r="A24" s="13" t="s">
        <v>33</v>
      </c>
      <c r="B24" s="1" t="s">
        <v>121</v>
      </c>
      <c r="C24" s="1">
        <v>24</v>
      </c>
      <c r="D24" s="1" t="s">
        <v>194</v>
      </c>
      <c r="E24" s="3" t="s">
        <v>79</v>
      </c>
      <c r="F24" s="3"/>
      <c r="G24" s="3" t="s">
        <v>276</v>
      </c>
      <c r="H24" s="3"/>
      <c r="I24" s="13" t="s">
        <v>361</v>
      </c>
    </row>
    <row r="25" spans="1:9" x14ac:dyDescent="0.25">
      <c r="A25" s="13" t="s">
        <v>675</v>
      </c>
      <c r="B25" s="1" t="s">
        <v>121</v>
      </c>
      <c r="C25" s="1">
        <v>25</v>
      </c>
      <c r="D25" s="1" t="s">
        <v>194</v>
      </c>
      <c r="E25" s="3" t="s">
        <v>287</v>
      </c>
      <c r="F25" s="3"/>
      <c r="G25" s="3" t="s">
        <v>276</v>
      </c>
      <c r="H25" s="3"/>
      <c r="I25" s="13" t="s">
        <v>409</v>
      </c>
    </row>
    <row r="26" spans="1:9" x14ac:dyDescent="0.25">
      <c r="A26" s="13" t="s">
        <v>129</v>
      </c>
      <c r="B26" s="1" t="s">
        <v>121</v>
      </c>
      <c r="C26" s="1">
        <v>26</v>
      </c>
      <c r="D26" s="1" t="s">
        <v>194</v>
      </c>
      <c r="E26" s="3" t="s">
        <v>128</v>
      </c>
      <c r="F26" s="3"/>
      <c r="G26" s="3" t="s">
        <v>276</v>
      </c>
      <c r="H26" s="3"/>
      <c r="I26" s="13" t="s">
        <v>365</v>
      </c>
    </row>
    <row r="27" spans="1:9" x14ac:dyDescent="0.25">
      <c r="A27" s="13" t="s">
        <v>132</v>
      </c>
      <c r="B27" s="1" t="s">
        <v>121</v>
      </c>
      <c r="C27" s="1">
        <v>27</v>
      </c>
      <c r="D27" s="1" t="s">
        <v>194</v>
      </c>
      <c r="E27" s="3" t="s">
        <v>128</v>
      </c>
      <c r="F27" s="3"/>
      <c r="G27" s="3" t="s">
        <v>276</v>
      </c>
      <c r="H27" s="3"/>
      <c r="I27" s="13" t="s">
        <v>364</v>
      </c>
    </row>
    <row r="28" spans="1:9" x14ac:dyDescent="0.25">
      <c r="A28" s="9" t="s">
        <v>366</v>
      </c>
      <c r="B28" s="1" t="s">
        <v>121</v>
      </c>
      <c r="C28" s="1">
        <v>28</v>
      </c>
      <c r="D28" s="1" t="s">
        <v>194</v>
      </c>
      <c r="E28" s="4" t="s">
        <v>273</v>
      </c>
      <c r="F28" s="4"/>
      <c r="G28" s="4" t="s">
        <v>389</v>
      </c>
      <c r="H28" s="4"/>
      <c r="I28" s="9" t="s">
        <v>274</v>
      </c>
    </row>
    <row r="29" spans="1:9" x14ac:dyDescent="0.25">
      <c r="A29" s="9" t="s">
        <v>367</v>
      </c>
      <c r="B29" s="1" t="s">
        <v>121</v>
      </c>
      <c r="C29" s="1">
        <v>29</v>
      </c>
      <c r="D29" s="1" t="s">
        <v>194</v>
      </c>
      <c r="E29" s="4" t="s">
        <v>73</v>
      </c>
      <c r="F29" s="4"/>
      <c r="G29" s="4" t="s">
        <v>276</v>
      </c>
      <c r="H29" s="4"/>
      <c r="I29" s="9" t="s">
        <v>277</v>
      </c>
    </row>
    <row r="30" spans="1:9" x14ac:dyDescent="0.25">
      <c r="A30" s="9" t="s">
        <v>676</v>
      </c>
      <c r="B30" s="1" t="s">
        <v>121</v>
      </c>
      <c r="C30" s="1">
        <v>30</v>
      </c>
      <c r="D30" s="1" t="s">
        <v>194</v>
      </c>
      <c r="E30" s="4" t="s">
        <v>275</v>
      </c>
      <c r="F30" s="4"/>
      <c r="G30" s="4" t="s">
        <v>276</v>
      </c>
      <c r="H30" s="4"/>
      <c r="I30" s="9" t="s">
        <v>278</v>
      </c>
    </row>
    <row r="31" spans="1:9" x14ac:dyDescent="0.25">
      <c r="A31" s="9" t="s">
        <v>368</v>
      </c>
      <c r="B31" s="1" t="s">
        <v>121</v>
      </c>
      <c r="C31" s="1">
        <v>31</v>
      </c>
      <c r="D31" s="1" t="s">
        <v>194</v>
      </c>
      <c r="E31" s="4" t="s">
        <v>68</v>
      </c>
      <c r="F31" s="4"/>
      <c r="G31" s="4" t="s">
        <v>389</v>
      </c>
      <c r="H31" s="4"/>
      <c r="I31" s="9" t="s">
        <v>270</v>
      </c>
    </row>
    <row r="32" spans="1:9" x14ac:dyDescent="0.25">
      <c r="A32" s="9" t="s">
        <v>369</v>
      </c>
      <c r="B32" s="1" t="s">
        <v>121</v>
      </c>
      <c r="C32" s="1">
        <v>32</v>
      </c>
      <c r="D32" s="1" t="s">
        <v>194</v>
      </c>
      <c r="E32" s="4" t="s">
        <v>69</v>
      </c>
      <c r="F32" s="4"/>
      <c r="G32" s="4" t="s">
        <v>389</v>
      </c>
      <c r="H32" s="4"/>
      <c r="I32" s="9" t="s">
        <v>279</v>
      </c>
    </row>
    <row r="33" spans="1:9" x14ac:dyDescent="0.25">
      <c r="A33" s="9" t="s">
        <v>370</v>
      </c>
      <c r="B33" s="1" t="s">
        <v>121</v>
      </c>
      <c r="C33" s="1">
        <v>33</v>
      </c>
      <c r="D33" s="1" t="s">
        <v>194</v>
      </c>
      <c r="E33" s="4" t="s">
        <v>70</v>
      </c>
      <c r="F33" s="4"/>
      <c r="G33" s="4" t="s">
        <v>389</v>
      </c>
      <c r="H33" s="4"/>
      <c r="I33" s="9" t="s">
        <v>280</v>
      </c>
    </row>
    <row r="34" spans="1:9" x14ac:dyDescent="0.25">
      <c r="A34" s="9" t="s">
        <v>371</v>
      </c>
      <c r="B34" s="1" t="s">
        <v>121</v>
      </c>
      <c r="C34" s="1">
        <v>34</v>
      </c>
      <c r="D34" s="1" t="s">
        <v>194</v>
      </c>
      <c r="E34" s="4" t="s">
        <v>291</v>
      </c>
      <c r="F34" s="4"/>
      <c r="G34" s="4" t="s">
        <v>389</v>
      </c>
      <c r="H34" s="4"/>
      <c r="I34" s="9" t="s">
        <v>281</v>
      </c>
    </row>
    <row r="35" spans="1:9" x14ac:dyDescent="0.25">
      <c r="A35" s="9" t="s">
        <v>372</v>
      </c>
      <c r="B35" s="1" t="s">
        <v>121</v>
      </c>
      <c r="C35" s="1">
        <v>35</v>
      </c>
      <c r="D35" s="1" t="s">
        <v>194</v>
      </c>
      <c r="E35" s="4" t="s">
        <v>283</v>
      </c>
      <c r="F35" s="4"/>
      <c r="G35" s="4" t="s">
        <v>389</v>
      </c>
      <c r="H35" s="4"/>
      <c r="I35" s="9" t="s">
        <v>282</v>
      </c>
    </row>
    <row r="36" spans="1:9" x14ac:dyDescent="0.25">
      <c r="A36" s="9" t="s">
        <v>373</v>
      </c>
      <c r="B36" s="1" t="s">
        <v>121</v>
      </c>
      <c r="C36" s="1">
        <v>36</v>
      </c>
      <c r="D36" s="1" t="s">
        <v>194</v>
      </c>
      <c r="E36" s="4" t="s">
        <v>72</v>
      </c>
      <c r="F36" s="4"/>
      <c r="G36" s="4" t="s">
        <v>389</v>
      </c>
      <c r="H36" s="4"/>
      <c r="I36" s="9" t="s">
        <v>362</v>
      </c>
    </row>
    <row r="37" spans="1:9" x14ac:dyDescent="0.25">
      <c r="A37" s="9" t="s">
        <v>374</v>
      </c>
      <c r="B37" s="1" t="s">
        <v>121</v>
      </c>
      <c r="C37" s="1">
        <v>37</v>
      </c>
      <c r="D37" s="1" t="s">
        <v>194</v>
      </c>
      <c r="E37" s="4" t="s">
        <v>71</v>
      </c>
      <c r="F37" s="4"/>
      <c r="G37" s="4" t="s">
        <v>389</v>
      </c>
      <c r="H37" s="4"/>
      <c r="I37" s="9" t="s">
        <v>363</v>
      </c>
    </row>
    <row r="38" spans="1:9" x14ac:dyDescent="0.25">
      <c r="A38" s="9" t="s">
        <v>375</v>
      </c>
      <c r="B38" s="1" t="s">
        <v>121</v>
      </c>
      <c r="C38" s="1">
        <v>38</v>
      </c>
      <c r="D38" s="1" t="s">
        <v>194</v>
      </c>
      <c r="E38" s="4" t="s">
        <v>80</v>
      </c>
      <c r="F38" s="4"/>
      <c r="G38" s="4" t="s">
        <v>389</v>
      </c>
      <c r="H38" s="4"/>
      <c r="I38" s="9" t="s">
        <v>350</v>
      </c>
    </row>
    <row r="39" spans="1:9" x14ac:dyDescent="0.25">
      <c r="A39" s="9" t="s">
        <v>376</v>
      </c>
      <c r="B39" s="1" t="s">
        <v>121</v>
      </c>
      <c r="C39" s="1">
        <v>39</v>
      </c>
      <c r="D39" s="1" t="s">
        <v>194</v>
      </c>
      <c r="E39" s="4" t="s">
        <v>81</v>
      </c>
      <c r="F39" s="4"/>
      <c r="G39" s="4" t="s">
        <v>389</v>
      </c>
      <c r="H39" s="4"/>
      <c r="I39" s="9" t="s">
        <v>351</v>
      </c>
    </row>
    <row r="40" spans="1:9" x14ac:dyDescent="0.25">
      <c r="A40" s="9" t="s">
        <v>377</v>
      </c>
      <c r="B40" s="1" t="s">
        <v>121</v>
      </c>
      <c r="C40" s="1">
        <v>40</v>
      </c>
      <c r="D40" s="1" t="s">
        <v>194</v>
      </c>
      <c r="E40" s="4" t="s">
        <v>82</v>
      </c>
      <c r="F40" s="4"/>
      <c r="G40" s="4" t="s">
        <v>389</v>
      </c>
      <c r="H40" s="4"/>
      <c r="I40" s="9" t="s">
        <v>352</v>
      </c>
    </row>
    <row r="41" spans="1:9" x14ac:dyDescent="0.25">
      <c r="A41" s="9" t="s">
        <v>378</v>
      </c>
      <c r="B41" s="1" t="s">
        <v>121</v>
      </c>
      <c r="C41" s="1">
        <v>41</v>
      </c>
      <c r="D41" s="1" t="s">
        <v>194</v>
      </c>
      <c r="E41" s="4" t="s">
        <v>284</v>
      </c>
      <c r="F41" s="4"/>
      <c r="G41" s="4" t="s">
        <v>389</v>
      </c>
      <c r="H41" s="4"/>
      <c r="I41" s="9" t="s">
        <v>353</v>
      </c>
    </row>
    <row r="42" spans="1:9" x14ac:dyDescent="0.25">
      <c r="A42" s="9" t="s">
        <v>379</v>
      </c>
      <c r="B42" s="1" t="s">
        <v>121</v>
      </c>
      <c r="C42" s="1">
        <v>42</v>
      </c>
      <c r="D42" s="1" t="s">
        <v>194</v>
      </c>
      <c r="E42" s="4" t="s">
        <v>285</v>
      </c>
      <c r="F42" s="4"/>
      <c r="G42" s="4" t="s">
        <v>389</v>
      </c>
      <c r="H42" s="4"/>
      <c r="I42" s="9" t="s">
        <v>354</v>
      </c>
    </row>
    <row r="43" spans="1:9" x14ac:dyDescent="0.25">
      <c r="A43" s="9" t="s">
        <v>380</v>
      </c>
      <c r="B43" s="1" t="s">
        <v>121</v>
      </c>
      <c r="C43" s="1">
        <v>43</v>
      </c>
      <c r="D43" s="1" t="s">
        <v>194</v>
      </c>
      <c r="E43" s="4" t="s">
        <v>286</v>
      </c>
      <c r="F43" s="4"/>
      <c r="G43" s="4" t="s">
        <v>389</v>
      </c>
      <c r="H43" s="4"/>
      <c r="I43" s="9" t="s">
        <v>355</v>
      </c>
    </row>
    <row r="44" spans="1:9" x14ac:dyDescent="0.25">
      <c r="A44" s="9" t="s">
        <v>381</v>
      </c>
      <c r="B44" s="1" t="s">
        <v>121</v>
      </c>
      <c r="C44" s="1">
        <v>44</v>
      </c>
      <c r="D44" s="1" t="s">
        <v>194</v>
      </c>
      <c r="E44" s="4" t="s">
        <v>74</v>
      </c>
      <c r="F44" s="4"/>
      <c r="G44" s="4" t="s">
        <v>389</v>
      </c>
      <c r="H44" s="4"/>
      <c r="I44" s="9" t="s">
        <v>356</v>
      </c>
    </row>
    <row r="45" spans="1:9" x14ac:dyDescent="0.25">
      <c r="A45" s="9" t="s">
        <v>382</v>
      </c>
      <c r="B45" s="1" t="s">
        <v>121</v>
      </c>
      <c r="C45" s="1">
        <v>45</v>
      </c>
      <c r="D45" s="1" t="s">
        <v>194</v>
      </c>
      <c r="E45" s="4" t="s">
        <v>75</v>
      </c>
      <c r="F45" s="4"/>
      <c r="G45" s="4" t="s">
        <v>389</v>
      </c>
      <c r="H45" s="4"/>
      <c r="I45" s="9" t="s">
        <v>357</v>
      </c>
    </row>
    <row r="46" spans="1:9" x14ac:dyDescent="0.25">
      <c r="A46" s="9" t="s">
        <v>383</v>
      </c>
      <c r="B46" s="1" t="s">
        <v>121</v>
      </c>
      <c r="C46" s="1">
        <v>46</v>
      </c>
      <c r="D46" s="1" t="s">
        <v>194</v>
      </c>
      <c r="E46" s="4" t="s">
        <v>76</v>
      </c>
      <c r="F46" s="4"/>
      <c r="G46" s="4" t="s">
        <v>389</v>
      </c>
      <c r="H46" s="4"/>
      <c r="I46" s="9" t="s">
        <v>358</v>
      </c>
    </row>
    <row r="47" spans="1:9" x14ac:dyDescent="0.25">
      <c r="A47" s="9" t="s">
        <v>384</v>
      </c>
      <c r="B47" s="1" t="s">
        <v>121</v>
      </c>
      <c r="C47" s="1">
        <v>47</v>
      </c>
      <c r="D47" s="1" t="s">
        <v>194</v>
      </c>
      <c r="E47" s="4" t="s">
        <v>77</v>
      </c>
      <c r="F47" s="4"/>
      <c r="G47" s="4" t="s">
        <v>389</v>
      </c>
      <c r="H47" s="4"/>
      <c r="I47" s="9" t="s">
        <v>359</v>
      </c>
    </row>
    <row r="48" spans="1:9" x14ac:dyDescent="0.25">
      <c r="A48" s="9" t="s">
        <v>385</v>
      </c>
      <c r="B48" s="1" t="s">
        <v>121</v>
      </c>
      <c r="C48" s="1">
        <v>48</v>
      </c>
      <c r="D48" s="1" t="s">
        <v>194</v>
      </c>
      <c r="E48" s="4" t="s">
        <v>78</v>
      </c>
      <c r="F48" s="4"/>
      <c r="G48" s="4" t="s">
        <v>389</v>
      </c>
      <c r="H48" s="4"/>
      <c r="I48" s="9" t="s">
        <v>360</v>
      </c>
    </row>
    <row r="49" spans="1:9" x14ac:dyDescent="0.25">
      <c r="A49" s="9" t="s">
        <v>386</v>
      </c>
      <c r="B49" s="1" t="s">
        <v>121</v>
      </c>
      <c r="C49" s="1">
        <v>49</v>
      </c>
      <c r="D49" s="1" t="s">
        <v>194</v>
      </c>
      <c r="E49" s="4" t="s">
        <v>79</v>
      </c>
      <c r="F49" s="4"/>
      <c r="G49" s="4" t="s">
        <v>389</v>
      </c>
      <c r="H49" s="4"/>
      <c r="I49" s="9" t="s">
        <v>361</v>
      </c>
    </row>
    <row r="50" spans="1:9" x14ac:dyDescent="0.25">
      <c r="A50" s="9" t="s">
        <v>677</v>
      </c>
      <c r="B50" s="1" t="s">
        <v>121</v>
      </c>
      <c r="C50" s="1">
        <v>50</v>
      </c>
      <c r="D50" s="1" t="s">
        <v>194</v>
      </c>
      <c r="E50" s="4" t="s">
        <v>287</v>
      </c>
      <c r="F50" s="4"/>
      <c r="G50" s="4" t="s">
        <v>276</v>
      </c>
      <c r="H50" s="4"/>
      <c r="I50" s="9" t="s">
        <v>409</v>
      </c>
    </row>
    <row r="51" spans="1:9" x14ac:dyDescent="0.25">
      <c r="A51" s="9" t="s">
        <v>387</v>
      </c>
      <c r="B51" s="1" t="s">
        <v>121</v>
      </c>
      <c r="C51" s="1">
        <v>51</v>
      </c>
      <c r="D51" s="1" t="s">
        <v>194</v>
      </c>
      <c r="E51" s="4" t="s">
        <v>128</v>
      </c>
      <c r="F51" s="4"/>
      <c r="G51" s="4" t="s">
        <v>276</v>
      </c>
      <c r="H51" s="4"/>
      <c r="I51" s="9" t="s">
        <v>365</v>
      </c>
    </row>
    <row r="52" spans="1:9" x14ac:dyDescent="0.25">
      <c r="A52" s="9" t="s">
        <v>388</v>
      </c>
      <c r="B52" s="1" t="s">
        <v>121</v>
      </c>
      <c r="C52" s="1">
        <v>52</v>
      </c>
      <c r="D52" s="1" t="s">
        <v>194</v>
      </c>
      <c r="E52" s="4" t="s">
        <v>128</v>
      </c>
      <c r="F52" s="4"/>
      <c r="G52" s="4" t="s">
        <v>389</v>
      </c>
      <c r="H52" s="4"/>
      <c r="I52" s="9" t="s">
        <v>364</v>
      </c>
    </row>
    <row r="53" spans="1:9" x14ac:dyDescent="0.25">
      <c r="A53" s="15" t="s">
        <v>390</v>
      </c>
      <c r="B53" s="1" t="s">
        <v>121</v>
      </c>
      <c r="C53" s="1">
        <v>53</v>
      </c>
      <c r="D53" s="1" t="s">
        <v>194</v>
      </c>
      <c r="E53" s="14" t="s">
        <v>247</v>
      </c>
      <c r="F53" s="14"/>
      <c r="G53" s="14" t="s">
        <v>288</v>
      </c>
      <c r="H53" s="19" t="s">
        <v>293</v>
      </c>
      <c r="I53" s="15" t="s">
        <v>292</v>
      </c>
    </row>
    <row r="54" spans="1:9" x14ac:dyDescent="0.25">
      <c r="A54" s="15" t="s">
        <v>391</v>
      </c>
      <c r="B54" s="1" t="s">
        <v>121</v>
      </c>
      <c r="C54" s="1">
        <v>54</v>
      </c>
      <c r="D54" s="1" t="s">
        <v>194</v>
      </c>
      <c r="E54" s="14" t="s">
        <v>247</v>
      </c>
      <c r="F54" s="14"/>
      <c r="G54" s="14" t="s">
        <v>288</v>
      </c>
      <c r="H54" s="19" t="s">
        <v>293</v>
      </c>
      <c r="I54" s="15" t="s">
        <v>292</v>
      </c>
    </row>
    <row r="55" spans="1:9" x14ac:dyDescent="0.25">
      <c r="A55" s="15" t="s">
        <v>392</v>
      </c>
      <c r="B55" s="1" t="s">
        <v>121</v>
      </c>
      <c r="C55" s="1">
        <v>55</v>
      </c>
      <c r="D55" s="1" t="s">
        <v>194</v>
      </c>
      <c r="E55" s="14" t="s">
        <v>247</v>
      </c>
      <c r="F55" s="14"/>
      <c r="G55" s="14" t="s">
        <v>288</v>
      </c>
      <c r="H55" s="19" t="s">
        <v>293</v>
      </c>
      <c r="I55" s="15" t="s">
        <v>292</v>
      </c>
    </row>
    <row r="56" spans="1:9" x14ac:dyDescent="0.25">
      <c r="A56" s="15" t="s">
        <v>393</v>
      </c>
      <c r="B56" s="1" t="s">
        <v>121</v>
      </c>
      <c r="C56" s="1">
        <v>56</v>
      </c>
      <c r="D56" s="1" t="s">
        <v>194</v>
      </c>
      <c r="E56" s="14" t="s">
        <v>247</v>
      </c>
      <c r="F56" s="14"/>
      <c r="G56" s="14" t="s">
        <v>288</v>
      </c>
      <c r="H56" s="19" t="s">
        <v>293</v>
      </c>
      <c r="I56" s="15" t="s">
        <v>292</v>
      </c>
    </row>
    <row r="57" spans="1:9" x14ac:dyDescent="0.25">
      <c r="A57" s="15" t="s">
        <v>426</v>
      </c>
      <c r="B57" s="1" t="s">
        <v>121</v>
      </c>
      <c r="C57" s="1">
        <v>57</v>
      </c>
      <c r="D57" s="1" t="s">
        <v>194</v>
      </c>
      <c r="E57" s="14" t="s">
        <v>247</v>
      </c>
      <c r="F57" s="14"/>
      <c r="G57" s="14" t="s">
        <v>288</v>
      </c>
      <c r="H57" s="19" t="s">
        <v>293</v>
      </c>
      <c r="I57" s="15" t="s">
        <v>292</v>
      </c>
    </row>
    <row r="58" spans="1:9" x14ac:dyDescent="0.25">
      <c r="A58" s="15" t="s">
        <v>427</v>
      </c>
      <c r="B58" s="1" t="s">
        <v>121</v>
      </c>
      <c r="C58" s="1">
        <v>58</v>
      </c>
      <c r="D58" s="1" t="s">
        <v>194</v>
      </c>
      <c r="E58" s="14" t="s">
        <v>247</v>
      </c>
      <c r="F58" s="14"/>
      <c r="G58" s="14" t="s">
        <v>288</v>
      </c>
      <c r="H58" s="19" t="s">
        <v>293</v>
      </c>
      <c r="I58" s="15" t="s">
        <v>292</v>
      </c>
    </row>
    <row r="59" spans="1:9" x14ac:dyDescent="0.25">
      <c r="A59" s="15" t="s">
        <v>428</v>
      </c>
      <c r="B59" s="1" t="s">
        <v>121</v>
      </c>
      <c r="C59" s="1">
        <v>59</v>
      </c>
      <c r="D59" s="1" t="s">
        <v>194</v>
      </c>
      <c r="E59" s="14" t="s">
        <v>247</v>
      </c>
      <c r="F59" s="14"/>
      <c r="G59" s="14" t="s">
        <v>288</v>
      </c>
      <c r="H59" s="19" t="s">
        <v>293</v>
      </c>
      <c r="I59" s="15" t="s">
        <v>292</v>
      </c>
    </row>
    <row r="60" spans="1:9" x14ac:dyDescent="0.25">
      <c r="A60" s="15" t="s">
        <v>429</v>
      </c>
      <c r="B60" s="1" t="s">
        <v>121</v>
      </c>
      <c r="C60" s="1">
        <v>60</v>
      </c>
      <c r="D60" s="1" t="s">
        <v>194</v>
      </c>
      <c r="E60" s="14" t="s">
        <v>247</v>
      </c>
      <c r="F60" s="14"/>
      <c r="G60" s="14" t="s">
        <v>288</v>
      </c>
      <c r="H60" s="19" t="s">
        <v>293</v>
      </c>
      <c r="I60" s="15" t="s">
        <v>292</v>
      </c>
    </row>
    <row r="61" spans="1:9" x14ac:dyDescent="0.25">
      <c r="A61" s="15" t="s">
        <v>394</v>
      </c>
      <c r="B61" s="1" t="s">
        <v>121</v>
      </c>
      <c r="C61" s="1">
        <v>61</v>
      </c>
      <c r="D61" s="1" t="s">
        <v>194</v>
      </c>
      <c r="E61" s="14" t="s">
        <v>247</v>
      </c>
      <c r="F61" s="14"/>
      <c r="G61" s="14" t="s">
        <v>288</v>
      </c>
      <c r="H61" s="19" t="s">
        <v>293</v>
      </c>
      <c r="I61" s="15" t="s">
        <v>292</v>
      </c>
    </row>
    <row r="62" spans="1:9" x14ac:dyDescent="0.25">
      <c r="A62" s="15" t="s">
        <v>395</v>
      </c>
      <c r="B62" s="1" t="s">
        <v>121</v>
      </c>
      <c r="C62" s="1">
        <v>62</v>
      </c>
      <c r="D62" s="1" t="s">
        <v>194</v>
      </c>
      <c r="E62" s="14" t="s">
        <v>247</v>
      </c>
      <c r="F62" s="14"/>
      <c r="G62" s="14" t="s">
        <v>288</v>
      </c>
      <c r="H62" s="19" t="s">
        <v>293</v>
      </c>
      <c r="I62" s="15" t="s">
        <v>292</v>
      </c>
    </row>
    <row r="63" spans="1:9" x14ac:dyDescent="0.25">
      <c r="A63" s="15" t="s">
        <v>396</v>
      </c>
      <c r="B63" s="1" t="s">
        <v>121</v>
      </c>
      <c r="C63" s="1">
        <v>63</v>
      </c>
      <c r="D63" s="1" t="s">
        <v>194</v>
      </c>
      <c r="E63" s="14" t="s">
        <v>247</v>
      </c>
      <c r="F63" s="14"/>
      <c r="G63" s="14" t="s">
        <v>288</v>
      </c>
      <c r="H63" s="19" t="s">
        <v>293</v>
      </c>
      <c r="I63" s="15" t="s">
        <v>292</v>
      </c>
    </row>
    <row r="64" spans="1:9" x14ac:dyDescent="0.25">
      <c r="A64" s="15" t="s">
        <v>397</v>
      </c>
      <c r="B64" s="1" t="s">
        <v>121</v>
      </c>
      <c r="C64" s="1">
        <v>64</v>
      </c>
      <c r="D64" s="1" t="s">
        <v>194</v>
      </c>
      <c r="E64" s="14" t="s">
        <v>247</v>
      </c>
      <c r="F64" s="14"/>
      <c r="G64" s="14" t="s">
        <v>288</v>
      </c>
      <c r="H64" s="19" t="s">
        <v>293</v>
      </c>
      <c r="I64" s="15" t="s">
        <v>292</v>
      </c>
    </row>
    <row r="65" spans="1:9" x14ac:dyDescent="0.25">
      <c r="A65" s="15" t="s">
        <v>398</v>
      </c>
      <c r="B65" s="1" t="s">
        <v>121</v>
      </c>
      <c r="C65" s="1">
        <v>65</v>
      </c>
      <c r="D65" s="1" t="s">
        <v>194</v>
      </c>
      <c r="E65" s="14" t="s">
        <v>247</v>
      </c>
      <c r="F65" s="14"/>
      <c r="G65" s="14" t="s">
        <v>288</v>
      </c>
      <c r="H65" s="19" t="s">
        <v>293</v>
      </c>
      <c r="I65" s="15" t="s">
        <v>292</v>
      </c>
    </row>
    <row r="66" spans="1:9" x14ac:dyDescent="0.25">
      <c r="A66" s="15" t="s">
        <v>399</v>
      </c>
      <c r="B66" s="1" t="s">
        <v>121</v>
      </c>
      <c r="C66" s="1">
        <v>66</v>
      </c>
      <c r="D66" s="1" t="s">
        <v>194</v>
      </c>
      <c r="E66" s="14" t="s">
        <v>247</v>
      </c>
      <c r="F66" s="14"/>
      <c r="G66" s="14" t="s">
        <v>288</v>
      </c>
      <c r="H66" s="19" t="s">
        <v>293</v>
      </c>
      <c r="I66" s="15" t="s">
        <v>292</v>
      </c>
    </row>
    <row r="67" spans="1:9" x14ac:dyDescent="0.25">
      <c r="A67" s="15" t="s">
        <v>400</v>
      </c>
      <c r="B67" s="1" t="s">
        <v>121</v>
      </c>
      <c r="C67" s="1">
        <v>67</v>
      </c>
      <c r="D67" s="1" t="s">
        <v>194</v>
      </c>
      <c r="E67" s="14" t="s">
        <v>247</v>
      </c>
      <c r="F67" s="14"/>
      <c r="G67" s="14" t="s">
        <v>288</v>
      </c>
      <c r="H67" s="19" t="s">
        <v>293</v>
      </c>
      <c r="I67" s="15" t="s">
        <v>292</v>
      </c>
    </row>
    <row r="68" spans="1:9" x14ac:dyDescent="0.25">
      <c r="A68" s="15" t="s">
        <v>401</v>
      </c>
      <c r="B68" s="1" t="s">
        <v>121</v>
      </c>
      <c r="C68" s="1">
        <v>68</v>
      </c>
      <c r="D68" s="1" t="s">
        <v>194</v>
      </c>
      <c r="E68" s="14" t="s">
        <v>247</v>
      </c>
      <c r="F68" s="14"/>
      <c r="G68" s="14" t="s">
        <v>288</v>
      </c>
      <c r="H68" s="19" t="s">
        <v>293</v>
      </c>
      <c r="I68" s="15" t="s">
        <v>292</v>
      </c>
    </row>
    <row r="69" spans="1:9" x14ac:dyDescent="0.25">
      <c r="A69" s="15" t="s">
        <v>402</v>
      </c>
      <c r="B69" s="1" t="s">
        <v>121</v>
      </c>
      <c r="C69" s="1">
        <v>69</v>
      </c>
      <c r="D69" s="1" t="s">
        <v>194</v>
      </c>
      <c r="E69" s="14" t="s">
        <v>247</v>
      </c>
      <c r="F69" s="14"/>
      <c r="G69" s="14" t="s">
        <v>288</v>
      </c>
      <c r="H69" s="19" t="s">
        <v>293</v>
      </c>
      <c r="I69" s="15" t="s">
        <v>292</v>
      </c>
    </row>
    <row r="70" spans="1:9" x14ac:dyDescent="0.25">
      <c r="A70" s="15" t="s">
        <v>403</v>
      </c>
      <c r="B70" s="1" t="s">
        <v>121</v>
      </c>
      <c r="C70" s="1">
        <v>70</v>
      </c>
      <c r="D70" s="1" t="s">
        <v>194</v>
      </c>
      <c r="E70" s="14" t="s">
        <v>247</v>
      </c>
      <c r="F70" s="14"/>
      <c r="G70" s="14" t="s">
        <v>288</v>
      </c>
      <c r="H70" s="19" t="s">
        <v>293</v>
      </c>
      <c r="I70" s="15" t="s">
        <v>292</v>
      </c>
    </row>
    <row r="71" spans="1:9" x14ac:dyDescent="0.25">
      <c r="A71" s="15" t="s">
        <v>404</v>
      </c>
      <c r="B71" s="1" t="s">
        <v>121</v>
      </c>
      <c r="C71" s="1">
        <v>71</v>
      </c>
      <c r="D71" s="1" t="s">
        <v>194</v>
      </c>
      <c r="E71" s="14" t="s">
        <v>247</v>
      </c>
      <c r="F71" s="14"/>
      <c r="G71" s="14" t="s">
        <v>288</v>
      </c>
      <c r="H71" s="19" t="s">
        <v>293</v>
      </c>
      <c r="I71" s="15" t="s">
        <v>292</v>
      </c>
    </row>
    <row r="72" spans="1:9" x14ac:dyDescent="0.25">
      <c r="A72" s="15" t="s">
        <v>405</v>
      </c>
      <c r="B72" s="1" t="s">
        <v>121</v>
      </c>
      <c r="C72" s="1">
        <v>72</v>
      </c>
      <c r="D72" s="1" t="s">
        <v>194</v>
      </c>
      <c r="E72" s="14" t="s">
        <v>247</v>
      </c>
      <c r="F72" s="14"/>
      <c r="G72" s="14" t="s">
        <v>288</v>
      </c>
      <c r="H72" s="19" t="s">
        <v>293</v>
      </c>
      <c r="I72" s="15" t="s">
        <v>292</v>
      </c>
    </row>
    <row r="73" spans="1:9" x14ac:dyDescent="0.25">
      <c r="A73" s="11" t="s">
        <v>433</v>
      </c>
      <c r="B73" s="1" t="s">
        <v>121</v>
      </c>
      <c r="C73" s="1">
        <v>73</v>
      </c>
      <c r="D73" s="1" t="s">
        <v>194</v>
      </c>
      <c r="E73" s="27" t="s">
        <v>431</v>
      </c>
      <c r="F73" s="27"/>
      <c r="G73" s="27" t="s">
        <v>288</v>
      </c>
      <c r="H73" s="27"/>
      <c r="I73" s="11" t="s">
        <v>435</v>
      </c>
    </row>
    <row r="74" spans="1:9" x14ac:dyDescent="0.25">
      <c r="A74" s="11" t="s">
        <v>432</v>
      </c>
      <c r="B74" s="1" t="s">
        <v>121</v>
      </c>
      <c r="C74" s="1">
        <v>74</v>
      </c>
      <c r="D74" s="1" t="s">
        <v>194</v>
      </c>
      <c r="E74" s="27" t="s">
        <v>431</v>
      </c>
      <c r="F74" s="27"/>
      <c r="G74" s="27" t="s">
        <v>288</v>
      </c>
      <c r="H74" s="27"/>
      <c r="I74" s="11" t="s">
        <v>436</v>
      </c>
    </row>
    <row r="75" spans="1:9" x14ac:dyDescent="0.25">
      <c r="A75" s="11" t="s">
        <v>230</v>
      </c>
      <c r="B75" s="1" t="s">
        <v>121</v>
      </c>
      <c r="C75" s="1">
        <v>75</v>
      </c>
      <c r="D75" s="1" t="s">
        <v>194</v>
      </c>
      <c r="E75" s="7" t="s">
        <v>247</v>
      </c>
      <c r="F75" s="7" t="s">
        <v>289</v>
      </c>
      <c r="G75" s="7" t="s">
        <v>244</v>
      </c>
      <c r="H75" s="7" t="s">
        <v>247</v>
      </c>
      <c r="I75" s="16"/>
    </row>
    <row r="76" spans="1:9" x14ac:dyDescent="0.25">
      <c r="A76" s="11" t="s">
        <v>231</v>
      </c>
      <c r="B76" s="1" t="s">
        <v>121</v>
      </c>
      <c r="C76" s="1">
        <v>76</v>
      </c>
      <c r="D76" s="1" t="s">
        <v>194</v>
      </c>
      <c r="E76" s="27">
        <v>31100</v>
      </c>
      <c r="F76" s="27">
        <v>2</v>
      </c>
      <c r="G76" s="27" t="s">
        <v>245</v>
      </c>
      <c r="H76" s="27" t="s">
        <v>246</v>
      </c>
      <c r="I76" s="11"/>
    </row>
    <row r="77" spans="1:9" x14ac:dyDescent="0.25">
      <c r="A77" s="11" t="s">
        <v>678</v>
      </c>
      <c r="B77" s="1" t="s">
        <v>121</v>
      </c>
      <c r="C77" s="1">
        <v>77</v>
      </c>
      <c r="D77" s="1" t="s">
        <v>194</v>
      </c>
      <c r="E77" s="7">
        <v>31200</v>
      </c>
      <c r="F77" s="7">
        <v>20</v>
      </c>
      <c r="G77" s="7" t="s">
        <v>244</v>
      </c>
      <c r="H77" s="7" t="s">
        <v>247</v>
      </c>
      <c r="I77" s="16"/>
    </row>
    <row r="78" spans="1:9" x14ac:dyDescent="0.25">
      <c r="A78" s="11" t="s">
        <v>235</v>
      </c>
      <c r="B78" s="1" t="s">
        <v>121</v>
      </c>
      <c r="C78" s="1">
        <v>78</v>
      </c>
      <c r="D78" s="1" t="s">
        <v>194</v>
      </c>
      <c r="E78" s="27">
        <v>32100</v>
      </c>
      <c r="F78" s="27">
        <v>2</v>
      </c>
      <c r="G78" s="27" t="s">
        <v>245</v>
      </c>
      <c r="H78" s="27" t="s">
        <v>250</v>
      </c>
      <c r="I78" s="11"/>
    </row>
    <row r="79" spans="1:9" x14ac:dyDescent="0.25">
      <c r="A79" s="11" t="s">
        <v>236</v>
      </c>
      <c r="B79" s="1" t="s">
        <v>121</v>
      </c>
      <c r="C79" s="1">
        <v>79</v>
      </c>
      <c r="D79" s="1" t="s">
        <v>194</v>
      </c>
      <c r="E79" s="27">
        <v>32101</v>
      </c>
      <c r="F79" s="27">
        <v>2</v>
      </c>
      <c r="G79" s="27" t="s">
        <v>248</v>
      </c>
      <c r="H79" s="27" t="s">
        <v>249</v>
      </c>
      <c r="I79" s="11"/>
    </row>
    <row r="80" spans="1:9" x14ac:dyDescent="0.25">
      <c r="A80" s="11" t="s">
        <v>212</v>
      </c>
      <c r="B80" s="1" t="s">
        <v>121</v>
      </c>
      <c r="C80" s="1">
        <v>80</v>
      </c>
      <c r="D80" s="1" t="s">
        <v>194</v>
      </c>
      <c r="E80" s="27">
        <v>32103</v>
      </c>
      <c r="F80" s="27">
        <v>4</v>
      </c>
      <c r="G80" s="27" t="s">
        <v>252</v>
      </c>
      <c r="H80" s="27" t="s">
        <v>251</v>
      </c>
      <c r="I80" s="11" t="s">
        <v>253</v>
      </c>
    </row>
    <row r="81" spans="1:9" x14ac:dyDescent="0.25">
      <c r="A81" s="11" t="s">
        <v>213</v>
      </c>
      <c r="B81" s="1" t="s">
        <v>121</v>
      </c>
      <c r="C81" s="1">
        <v>81</v>
      </c>
      <c r="D81" s="1" t="s">
        <v>194</v>
      </c>
      <c r="E81" s="27">
        <v>32104</v>
      </c>
      <c r="F81" s="27">
        <v>2</v>
      </c>
      <c r="G81" s="27" t="s">
        <v>245</v>
      </c>
      <c r="H81" s="27" t="s">
        <v>255</v>
      </c>
      <c r="I81" s="11"/>
    </row>
    <row r="82" spans="1:9" x14ac:dyDescent="0.25">
      <c r="A82" s="11" t="s">
        <v>256</v>
      </c>
      <c r="B82" s="1" t="s">
        <v>121</v>
      </c>
      <c r="C82" s="1">
        <v>82</v>
      </c>
      <c r="D82" s="1" t="s">
        <v>194</v>
      </c>
      <c r="E82" s="27">
        <v>32105</v>
      </c>
      <c r="F82" s="27">
        <v>2</v>
      </c>
      <c r="G82" s="27" t="s">
        <v>245</v>
      </c>
      <c r="H82" s="27" t="s">
        <v>257</v>
      </c>
      <c r="I82" s="11"/>
    </row>
    <row r="83" spans="1:9" x14ac:dyDescent="0.25">
      <c r="A83" s="11" t="s">
        <v>232</v>
      </c>
      <c r="B83" s="1" t="s">
        <v>121</v>
      </c>
      <c r="C83" s="1">
        <v>83</v>
      </c>
      <c r="D83" s="1" t="s">
        <v>194</v>
      </c>
      <c r="E83" s="7">
        <v>32200</v>
      </c>
      <c r="F83" s="7">
        <v>2</v>
      </c>
      <c r="G83" s="7" t="s">
        <v>245</v>
      </c>
      <c r="H83" s="7" t="s">
        <v>258</v>
      </c>
      <c r="I83" s="16"/>
    </row>
    <row r="84" spans="1:9" x14ac:dyDescent="0.25">
      <c r="A84" s="11" t="s">
        <v>233</v>
      </c>
      <c r="B84" s="1" t="s">
        <v>121</v>
      </c>
      <c r="C84" s="1">
        <v>84</v>
      </c>
      <c r="D84" s="1" t="s">
        <v>194</v>
      </c>
      <c r="E84" s="7">
        <v>32201</v>
      </c>
      <c r="F84" s="7">
        <v>2</v>
      </c>
      <c r="G84" s="7" t="s">
        <v>248</v>
      </c>
      <c r="H84" s="7" t="s">
        <v>249</v>
      </c>
      <c r="I84" s="16"/>
    </row>
    <row r="85" spans="1:9" x14ac:dyDescent="0.25">
      <c r="A85" s="11" t="s">
        <v>211</v>
      </c>
      <c r="B85" s="1" t="s">
        <v>121</v>
      </c>
      <c r="C85" s="1">
        <v>85</v>
      </c>
      <c r="D85" s="1" t="s">
        <v>194</v>
      </c>
      <c r="E85" s="7">
        <v>32202</v>
      </c>
      <c r="F85" s="7">
        <v>4</v>
      </c>
      <c r="G85" s="7" t="s">
        <v>252</v>
      </c>
      <c r="H85" s="7" t="s">
        <v>251</v>
      </c>
      <c r="I85" s="16" t="s">
        <v>254</v>
      </c>
    </row>
    <row r="86" spans="1:9" x14ac:dyDescent="0.25">
      <c r="A86" s="11" t="s">
        <v>234</v>
      </c>
      <c r="B86" s="1" t="s">
        <v>121</v>
      </c>
      <c r="C86" s="1">
        <v>86</v>
      </c>
      <c r="D86" s="1" t="s">
        <v>194</v>
      </c>
      <c r="E86" s="7">
        <v>32204</v>
      </c>
      <c r="F86" s="7">
        <v>2</v>
      </c>
      <c r="G86" s="7" t="s">
        <v>245</v>
      </c>
      <c r="H86" s="7" t="s">
        <v>259</v>
      </c>
      <c r="I86" s="16"/>
    </row>
    <row r="87" spans="1:9" x14ac:dyDescent="0.25">
      <c r="A87" s="11" t="s">
        <v>237</v>
      </c>
      <c r="B87" s="1" t="s">
        <v>121</v>
      </c>
      <c r="C87" s="1">
        <v>87</v>
      </c>
      <c r="D87" s="1" t="s">
        <v>194</v>
      </c>
      <c r="E87" s="27">
        <v>32300</v>
      </c>
      <c r="F87" s="27">
        <v>2</v>
      </c>
      <c r="G87" s="27" t="s">
        <v>245</v>
      </c>
      <c r="H87" s="27" t="s">
        <v>258</v>
      </c>
      <c r="I87" s="11"/>
    </row>
    <row r="88" spans="1:9" x14ac:dyDescent="0.25">
      <c r="A88" s="11" t="s">
        <v>238</v>
      </c>
      <c r="B88" s="1" t="s">
        <v>121</v>
      </c>
      <c r="C88" s="1">
        <v>88</v>
      </c>
      <c r="D88" s="1" t="s">
        <v>194</v>
      </c>
      <c r="E88" s="27">
        <v>32301</v>
      </c>
      <c r="F88" s="27">
        <v>2</v>
      </c>
      <c r="G88" s="27" t="s">
        <v>245</v>
      </c>
      <c r="H88" s="27" t="s">
        <v>249</v>
      </c>
      <c r="I88" s="11"/>
    </row>
    <row r="89" spans="1:9" x14ac:dyDescent="0.25">
      <c r="A89" s="11" t="s">
        <v>239</v>
      </c>
      <c r="B89" s="1" t="s">
        <v>121</v>
      </c>
      <c r="C89" s="1">
        <v>89</v>
      </c>
      <c r="D89" s="1" t="s">
        <v>194</v>
      </c>
      <c r="E89" s="27">
        <v>32302</v>
      </c>
      <c r="F89" s="27">
        <v>4</v>
      </c>
      <c r="G89" s="27" t="s">
        <v>252</v>
      </c>
      <c r="H89" s="27" t="s">
        <v>251</v>
      </c>
      <c r="I89" s="11"/>
    </row>
    <row r="90" spans="1:9" x14ac:dyDescent="0.25">
      <c r="A90" s="11" t="s">
        <v>214</v>
      </c>
      <c r="B90" s="1" t="s">
        <v>121</v>
      </c>
      <c r="C90" s="1">
        <v>90</v>
      </c>
      <c r="D90" s="1" t="s">
        <v>194</v>
      </c>
      <c r="E90" s="7">
        <v>33000</v>
      </c>
      <c r="F90" s="7">
        <v>4</v>
      </c>
      <c r="G90" s="7" t="s">
        <v>260</v>
      </c>
      <c r="H90" s="7" t="s">
        <v>261</v>
      </c>
      <c r="I90" s="16"/>
    </row>
    <row r="91" spans="1:9" x14ac:dyDescent="0.25">
      <c r="A91" s="11" t="s">
        <v>215</v>
      </c>
      <c r="B91" s="1" t="s">
        <v>121</v>
      </c>
      <c r="C91" s="1">
        <v>91</v>
      </c>
      <c r="D91" s="1" t="s">
        <v>194</v>
      </c>
      <c r="E91" s="7">
        <v>33002</v>
      </c>
      <c r="F91" s="7">
        <v>4</v>
      </c>
      <c r="G91" s="7" t="s">
        <v>260</v>
      </c>
      <c r="H91" s="7" t="s">
        <v>261</v>
      </c>
      <c r="I91" s="16"/>
    </row>
    <row r="92" spans="1:9" x14ac:dyDescent="0.25">
      <c r="A92" s="11" t="s">
        <v>216</v>
      </c>
      <c r="B92" s="1" t="s">
        <v>121</v>
      </c>
      <c r="C92" s="1">
        <v>92</v>
      </c>
      <c r="D92" s="1" t="s">
        <v>194</v>
      </c>
      <c r="E92" s="7">
        <v>33004</v>
      </c>
      <c r="F92" s="7">
        <v>4</v>
      </c>
      <c r="G92" s="7" t="s">
        <v>260</v>
      </c>
      <c r="H92" s="7" t="s">
        <v>261</v>
      </c>
      <c r="I92" s="16"/>
    </row>
    <row r="93" spans="1:9" x14ac:dyDescent="0.25">
      <c r="A93" s="11" t="s">
        <v>217</v>
      </c>
      <c r="B93" s="1" t="s">
        <v>121</v>
      </c>
      <c r="C93" s="1">
        <v>93</v>
      </c>
      <c r="D93" s="1" t="s">
        <v>194</v>
      </c>
      <c r="E93" s="7">
        <v>33006</v>
      </c>
      <c r="F93" s="7">
        <v>4</v>
      </c>
      <c r="G93" s="7" t="s">
        <v>260</v>
      </c>
      <c r="H93" s="7" t="s">
        <v>261</v>
      </c>
      <c r="I93" s="16"/>
    </row>
    <row r="94" spans="1:9" x14ac:dyDescent="0.25">
      <c r="A94" s="11" t="s">
        <v>218</v>
      </c>
      <c r="B94" s="1" t="s">
        <v>121</v>
      </c>
      <c r="C94" s="1">
        <v>94</v>
      </c>
      <c r="D94" s="1" t="s">
        <v>194</v>
      </c>
      <c r="E94" s="7">
        <v>33008</v>
      </c>
      <c r="F94" s="7">
        <v>4</v>
      </c>
      <c r="G94" s="7" t="s">
        <v>260</v>
      </c>
      <c r="H94" s="7" t="s">
        <v>261</v>
      </c>
      <c r="I94" s="16"/>
    </row>
    <row r="95" spans="1:9" x14ac:dyDescent="0.25">
      <c r="A95" s="11" t="s">
        <v>219</v>
      </c>
      <c r="B95" s="1" t="s">
        <v>121</v>
      </c>
      <c r="C95" s="1">
        <v>95</v>
      </c>
      <c r="D95" s="1" t="s">
        <v>194</v>
      </c>
      <c r="E95" s="7">
        <v>33010</v>
      </c>
      <c r="F95" s="7">
        <v>4</v>
      </c>
      <c r="G95" s="7" t="s">
        <v>260</v>
      </c>
      <c r="H95" s="7" t="s">
        <v>261</v>
      </c>
      <c r="I95" s="16"/>
    </row>
    <row r="96" spans="1:9" x14ac:dyDescent="0.25">
      <c r="A96" s="11" t="s">
        <v>220</v>
      </c>
      <c r="B96" s="1" t="s">
        <v>121</v>
      </c>
      <c r="C96" s="1">
        <v>96</v>
      </c>
      <c r="D96" s="1" t="s">
        <v>194</v>
      </c>
      <c r="E96" s="27">
        <v>35000</v>
      </c>
      <c r="F96" s="27">
        <v>2</v>
      </c>
      <c r="G96" s="27" t="s">
        <v>245</v>
      </c>
      <c r="H96" s="27" t="s">
        <v>262</v>
      </c>
      <c r="I96" s="11"/>
    </row>
    <row r="97" spans="1:9" x14ac:dyDescent="0.25">
      <c r="A97" s="11" t="s">
        <v>221</v>
      </c>
      <c r="B97" s="1" t="s">
        <v>121</v>
      </c>
      <c r="C97" s="1">
        <v>97</v>
      </c>
      <c r="D97" s="1" t="s">
        <v>194</v>
      </c>
      <c r="E97" s="27">
        <v>35001</v>
      </c>
      <c r="F97" s="27">
        <v>2</v>
      </c>
      <c r="G97" s="27" t="s">
        <v>245</v>
      </c>
      <c r="H97" s="27" t="s">
        <v>262</v>
      </c>
      <c r="I97" s="11"/>
    </row>
    <row r="98" spans="1:9" x14ac:dyDescent="0.25">
      <c r="A98" s="11" t="s">
        <v>222</v>
      </c>
      <c r="B98" s="1" t="s">
        <v>121</v>
      </c>
      <c r="C98" s="1">
        <v>98</v>
      </c>
      <c r="D98" s="1" t="s">
        <v>194</v>
      </c>
      <c r="E98" s="27">
        <v>35002</v>
      </c>
      <c r="F98" s="27">
        <v>2</v>
      </c>
      <c r="G98" s="27" t="s">
        <v>245</v>
      </c>
      <c r="H98" s="27" t="s">
        <v>262</v>
      </c>
      <c r="I98" s="11"/>
    </row>
    <row r="99" spans="1:9" x14ac:dyDescent="0.25">
      <c r="A99" s="11" t="s">
        <v>223</v>
      </c>
      <c r="B99" s="1" t="s">
        <v>121</v>
      </c>
      <c r="C99" s="1">
        <v>99</v>
      </c>
      <c r="D99" s="1" t="s">
        <v>194</v>
      </c>
      <c r="E99" s="7">
        <v>35010</v>
      </c>
      <c r="F99" s="7">
        <v>2</v>
      </c>
      <c r="G99" s="7" t="s">
        <v>245</v>
      </c>
      <c r="H99" s="7" t="s">
        <v>262</v>
      </c>
      <c r="I99" s="16"/>
    </row>
    <row r="100" spans="1:9" x14ac:dyDescent="0.25">
      <c r="A100" s="11" t="s">
        <v>224</v>
      </c>
      <c r="B100" s="1" t="s">
        <v>121</v>
      </c>
      <c r="C100" s="1">
        <v>100</v>
      </c>
      <c r="D100" s="1" t="s">
        <v>194</v>
      </c>
      <c r="E100" s="7">
        <v>35011</v>
      </c>
      <c r="F100" s="7">
        <v>2</v>
      </c>
      <c r="G100" s="7" t="s">
        <v>245</v>
      </c>
      <c r="H100" s="7" t="s">
        <v>262</v>
      </c>
      <c r="I100" s="16"/>
    </row>
    <row r="101" spans="1:9" x14ac:dyDescent="0.25">
      <c r="A101" s="11" t="s">
        <v>225</v>
      </c>
      <c r="B101" s="1" t="s">
        <v>121</v>
      </c>
      <c r="C101" s="1">
        <v>101</v>
      </c>
      <c r="D101" s="1" t="s">
        <v>194</v>
      </c>
      <c r="E101" s="27">
        <v>35100</v>
      </c>
      <c r="F101" s="27">
        <v>2</v>
      </c>
      <c r="G101" s="27" t="s">
        <v>245</v>
      </c>
      <c r="H101" s="27" t="s">
        <v>247</v>
      </c>
      <c r="I101" s="11" t="s">
        <v>240</v>
      </c>
    </row>
    <row r="102" spans="1:9" x14ac:dyDescent="0.25">
      <c r="A102" s="11" t="s">
        <v>241</v>
      </c>
      <c r="B102" s="1" t="s">
        <v>121</v>
      </c>
      <c r="C102" s="1">
        <v>102</v>
      </c>
      <c r="D102" s="1" t="s">
        <v>194</v>
      </c>
      <c r="E102" s="27">
        <v>35110</v>
      </c>
      <c r="F102" s="27">
        <v>2</v>
      </c>
      <c r="G102" s="27" t="s">
        <v>245</v>
      </c>
      <c r="H102" s="27" t="s">
        <v>263</v>
      </c>
      <c r="I102" s="11"/>
    </row>
    <row r="103" spans="1:9" x14ac:dyDescent="0.25">
      <c r="A103" s="11" t="s">
        <v>243</v>
      </c>
      <c r="B103" s="1" t="s">
        <v>121</v>
      </c>
      <c r="C103" s="1">
        <v>103</v>
      </c>
      <c r="D103" s="1" t="s">
        <v>194</v>
      </c>
      <c r="E103" s="27">
        <v>35111</v>
      </c>
      <c r="F103" s="27">
        <v>2</v>
      </c>
      <c r="G103" s="27" t="s">
        <v>245</v>
      </c>
      <c r="H103" s="27" t="s">
        <v>264</v>
      </c>
      <c r="I103" s="11"/>
    </row>
    <row r="104" spans="1:9" x14ac:dyDescent="0.25">
      <c r="A104" s="11" t="s">
        <v>242</v>
      </c>
      <c r="B104" s="1" t="s">
        <v>121</v>
      </c>
      <c r="C104" s="1">
        <v>104</v>
      </c>
      <c r="D104" s="1" t="s">
        <v>194</v>
      </c>
      <c r="E104" s="27">
        <v>35112</v>
      </c>
      <c r="F104" s="27">
        <v>2</v>
      </c>
      <c r="G104" s="27" t="s">
        <v>245</v>
      </c>
      <c r="H104" s="27" t="s">
        <v>264</v>
      </c>
      <c r="I104" s="11"/>
    </row>
    <row r="105" spans="1:9" x14ac:dyDescent="0.25">
      <c r="A105" s="11" t="s">
        <v>226</v>
      </c>
      <c r="B105" s="1" t="s">
        <v>121</v>
      </c>
      <c r="C105" s="1">
        <v>105</v>
      </c>
      <c r="D105" s="1" t="s">
        <v>194</v>
      </c>
      <c r="E105" s="7">
        <v>36000</v>
      </c>
      <c r="F105" s="7">
        <v>2</v>
      </c>
      <c r="G105" s="7" t="s">
        <v>266</v>
      </c>
      <c r="H105" s="7" t="s">
        <v>247</v>
      </c>
      <c r="I105" s="16"/>
    </row>
    <row r="106" spans="1:9" x14ac:dyDescent="0.25">
      <c r="A106" s="11" t="s">
        <v>227</v>
      </c>
      <c r="B106" s="1" t="s">
        <v>121</v>
      </c>
      <c r="C106" s="1">
        <v>106</v>
      </c>
      <c r="D106" s="1" t="s">
        <v>194</v>
      </c>
      <c r="E106" s="27">
        <v>36100</v>
      </c>
      <c r="F106" s="27">
        <v>4</v>
      </c>
      <c r="G106" s="27" t="s">
        <v>266</v>
      </c>
      <c r="H106" s="27" t="s">
        <v>247</v>
      </c>
      <c r="I106" s="11"/>
    </row>
    <row r="107" spans="1:9" x14ac:dyDescent="0.25">
      <c r="A107" s="16" t="s">
        <v>209</v>
      </c>
      <c r="B107" s="1" t="s">
        <v>121</v>
      </c>
      <c r="C107" s="1">
        <v>107</v>
      </c>
      <c r="D107" s="1" t="s">
        <v>194</v>
      </c>
      <c r="E107" s="7">
        <v>41000</v>
      </c>
      <c r="F107" s="7">
        <v>2</v>
      </c>
      <c r="G107" s="7" t="s">
        <v>245</v>
      </c>
      <c r="H107" s="7" t="s">
        <v>247</v>
      </c>
      <c r="I107" s="16" t="s">
        <v>268</v>
      </c>
    </row>
    <row r="108" spans="1:9" x14ac:dyDescent="0.25">
      <c r="A108" s="16" t="s">
        <v>210</v>
      </c>
      <c r="B108" s="1" t="s">
        <v>121</v>
      </c>
      <c r="C108" s="1">
        <v>108</v>
      </c>
      <c r="D108" s="1" t="s">
        <v>194</v>
      </c>
      <c r="E108" s="27">
        <v>41200</v>
      </c>
      <c r="F108" s="27">
        <v>2</v>
      </c>
      <c r="G108" s="27" t="s">
        <v>245</v>
      </c>
      <c r="H108" s="27" t="s">
        <v>247</v>
      </c>
      <c r="I108" s="11" t="s">
        <v>267</v>
      </c>
    </row>
    <row r="109" spans="1:9" x14ac:dyDescent="0.25">
      <c r="A109" s="16" t="s">
        <v>198</v>
      </c>
      <c r="B109" s="1" t="s">
        <v>121</v>
      </c>
      <c r="C109" s="1">
        <v>109</v>
      </c>
      <c r="D109" s="1" t="s">
        <v>194</v>
      </c>
      <c r="E109" s="7">
        <v>42000</v>
      </c>
      <c r="F109" s="7">
        <v>2</v>
      </c>
      <c r="G109" s="7" t="s">
        <v>245</v>
      </c>
      <c r="H109" s="7" t="s">
        <v>247</v>
      </c>
      <c r="I109" s="16" t="s">
        <v>269</v>
      </c>
    </row>
    <row r="110" spans="1:9" x14ac:dyDescent="0.25">
      <c r="A110" s="16" t="s">
        <v>199</v>
      </c>
      <c r="B110" s="1" t="s">
        <v>121</v>
      </c>
      <c r="C110" s="1">
        <v>110</v>
      </c>
      <c r="D110" s="1" t="s">
        <v>194</v>
      </c>
      <c r="E110" s="27">
        <v>42010</v>
      </c>
      <c r="F110" s="27">
        <v>2</v>
      </c>
      <c r="G110" s="27" t="s">
        <v>245</v>
      </c>
      <c r="H110" s="27" t="s">
        <v>247</v>
      </c>
      <c r="I110" s="11" t="s">
        <v>200</v>
      </c>
    </row>
    <row r="111" spans="1:9" x14ac:dyDescent="0.25">
      <c r="A111" s="16" t="s">
        <v>197</v>
      </c>
      <c r="B111" s="1" t="s">
        <v>121</v>
      </c>
      <c r="C111" s="1">
        <v>111</v>
      </c>
      <c r="D111" s="1" t="s">
        <v>194</v>
      </c>
      <c r="E111" s="27">
        <v>42011</v>
      </c>
      <c r="F111" s="27">
        <v>2</v>
      </c>
      <c r="G111" s="27" t="s">
        <v>245</v>
      </c>
      <c r="H111" s="27">
        <v>0.01</v>
      </c>
      <c r="I111" s="11" t="s">
        <v>203</v>
      </c>
    </row>
    <row r="112" spans="1:9" x14ac:dyDescent="0.25">
      <c r="A112" s="16" t="s">
        <v>195</v>
      </c>
      <c r="B112" s="1" t="s">
        <v>121</v>
      </c>
      <c r="C112" s="1">
        <v>112</v>
      </c>
      <c r="D112" s="1" t="s">
        <v>194</v>
      </c>
      <c r="E112" s="7">
        <v>42020</v>
      </c>
      <c r="F112" s="7">
        <v>2</v>
      </c>
      <c r="G112" s="7" t="s">
        <v>245</v>
      </c>
      <c r="H112" s="7" t="s">
        <v>251</v>
      </c>
      <c r="I112" s="16" t="s">
        <v>204</v>
      </c>
    </row>
    <row r="113" spans="1:9" x14ac:dyDescent="0.25">
      <c r="A113" s="16" t="s">
        <v>196</v>
      </c>
      <c r="B113" s="1" t="s">
        <v>121</v>
      </c>
      <c r="C113" s="1">
        <v>113</v>
      </c>
      <c r="D113" s="1" t="s">
        <v>194</v>
      </c>
      <c r="E113" s="27">
        <v>42021</v>
      </c>
      <c r="F113" s="27">
        <v>2</v>
      </c>
      <c r="G113" s="27" t="s">
        <v>245</v>
      </c>
      <c r="H113" s="27" t="s">
        <v>251</v>
      </c>
      <c r="I113" s="11" t="s">
        <v>205</v>
      </c>
    </row>
    <row r="114" spans="1:9" x14ac:dyDescent="0.25">
      <c r="A114" s="16" t="s">
        <v>201</v>
      </c>
      <c r="B114" s="1" t="s">
        <v>121</v>
      </c>
      <c r="C114" s="1">
        <v>114</v>
      </c>
      <c r="D114" s="1" t="s">
        <v>194</v>
      </c>
      <c r="E114" s="7">
        <v>43000</v>
      </c>
      <c r="F114" s="7">
        <v>2</v>
      </c>
      <c r="G114" s="7" t="s">
        <v>245</v>
      </c>
      <c r="H114" s="7" t="s">
        <v>247</v>
      </c>
      <c r="I114" s="16" t="s">
        <v>202</v>
      </c>
    </row>
    <row r="115" spans="1:9" x14ac:dyDescent="0.25">
      <c r="A115" s="16" t="s">
        <v>206</v>
      </c>
      <c r="B115" s="1" t="s">
        <v>121</v>
      </c>
      <c r="C115" s="1">
        <v>115</v>
      </c>
      <c r="D115" s="1" t="s">
        <v>194</v>
      </c>
      <c r="E115" s="27">
        <v>44000</v>
      </c>
      <c r="F115" s="27">
        <v>2</v>
      </c>
      <c r="G115" s="27" t="s">
        <v>245</v>
      </c>
      <c r="H115" s="27" t="s">
        <v>255</v>
      </c>
      <c r="I115" s="11"/>
    </row>
    <row r="116" spans="1:9" x14ac:dyDescent="0.25">
      <c r="A116" s="16" t="s">
        <v>207</v>
      </c>
      <c r="B116" s="1" t="s">
        <v>121</v>
      </c>
      <c r="C116" s="1">
        <v>116</v>
      </c>
      <c r="D116" s="1" t="s">
        <v>194</v>
      </c>
      <c r="E116" s="27">
        <v>44001</v>
      </c>
      <c r="F116" s="27">
        <v>2</v>
      </c>
      <c r="G116" s="27" t="s">
        <v>245</v>
      </c>
      <c r="H116" s="27" t="s">
        <v>255</v>
      </c>
      <c r="I116" s="11"/>
    </row>
    <row r="117" spans="1:9" x14ac:dyDescent="0.25">
      <c r="A117" s="16" t="s">
        <v>208</v>
      </c>
      <c r="B117" s="1" t="s">
        <v>121</v>
      </c>
      <c r="C117" s="1">
        <v>117</v>
      </c>
      <c r="D117" s="1" t="s">
        <v>194</v>
      </c>
      <c r="E117" s="27">
        <v>44002</v>
      </c>
      <c r="F117" s="27">
        <v>2</v>
      </c>
      <c r="G117" s="27" t="s">
        <v>245</v>
      </c>
      <c r="H117" s="27" t="s">
        <v>251</v>
      </c>
      <c r="I117" s="11"/>
    </row>
    <row r="118" spans="1:9" x14ac:dyDescent="0.25">
      <c r="A118" s="16" t="s">
        <v>265</v>
      </c>
      <c r="B118" s="1" t="s">
        <v>121</v>
      </c>
      <c r="C118" s="1">
        <v>118</v>
      </c>
      <c r="D118" s="1" t="s">
        <v>194</v>
      </c>
      <c r="E118" s="27">
        <v>44003</v>
      </c>
      <c r="F118" s="27">
        <v>2</v>
      </c>
      <c r="G118" s="27" t="s">
        <v>245</v>
      </c>
      <c r="H118" s="27" t="s">
        <v>251</v>
      </c>
      <c r="I118" s="11"/>
    </row>
    <row r="119" spans="1:9" x14ac:dyDescent="0.25">
      <c r="A119" s="17" t="s">
        <v>181</v>
      </c>
      <c r="B119" s="1" t="s">
        <v>121</v>
      </c>
      <c r="C119" s="1">
        <v>119</v>
      </c>
      <c r="D119" s="1" t="s">
        <v>194</v>
      </c>
      <c r="E119" s="7" t="s">
        <v>431</v>
      </c>
      <c r="F119" s="7" t="s">
        <v>289</v>
      </c>
      <c r="G119" s="7"/>
      <c r="H119" s="7"/>
      <c r="I119" s="16"/>
    </row>
    <row r="120" spans="1:9" x14ac:dyDescent="0.25">
      <c r="A120" s="17" t="s">
        <v>182</v>
      </c>
      <c r="B120" s="1" t="s">
        <v>121</v>
      </c>
      <c r="C120" s="1">
        <v>120</v>
      </c>
      <c r="D120" s="1" t="s">
        <v>194</v>
      </c>
      <c r="E120" s="7" t="s">
        <v>431</v>
      </c>
      <c r="F120" s="7" t="s">
        <v>289</v>
      </c>
      <c r="G120" s="7"/>
      <c r="H120" s="7"/>
      <c r="I120" s="16"/>
    </row>
    <row r="121" spans="1:9" x14ac:dyDescent="0.25">
      <c r="A121" s="8" t="s">
        <v>440</v>
      </c>
      <c r="B121" s="1" t="s">
        <v>121</v>
      </c>
      <c r="C121" s="1">
        <v>121</v>
      </c>
      <c r="D121" s="1" t="s">
        <v>194</v>
      </c>
      <c r="E121" s="26" t="s">
        <v>431</v>
      </c>
      <c r="F121" s="26"/>
      <c r="G121" s="26" t="s">
        <v>288</v>
      </c>
      <c r="H121" s="26"/>
      <c r="I121" s="8" t="s">
        <v>438</v>
      </c>
    </row>
    <row r="122" spans="1:9" x14ac:dyDescent="0.25">
      <c r="A122" s="8" t="s">
        <v>441</v>
      </c>
      <c r="B122" s="1" t="s">
        <v>121</v>
      </c>
      <c r="C122" s="1">
        <v>122</v>
      </c>
      <c r="D122" s="1" t="s">
        <v>194</v>
      </c>
      <c r="E122" s="26" t="s">
        <v>431</v>
      </c>
      <c r="F122" s="26"/>
      <c r="G122" s="26" t="s">
        <v>288</v>
      </c>
      <c r="H122" s="26"/>
      <c r="I122" s="8" t="s">
        <v>439</v>
      </c>
    </row>
    <row r="123" spans="1:9" x14ac:dyDescent="0.25">
      <c r="A123" s="8" t="s">
        <v>442</v>
      </c>
      <c r="B123" s="1" t="s">
        <v>121</v>
      </c>
      <c r="C123" s="1">
        <v>123</v>
      </c>
      <c r="D123" s="1" t="s">
        <v>194</v>
      </c>
      <c r="E123" s="26" t="s">
        <v>491</v>
      </c>
      <c r="F123" s="26">
        <v>2</v>
      </c>
      <c r="G123" s="26" t="s">
        <v>245</v>
      </c>
      <c r="H123" s="26"/>
      <c r="I123" s="8"/>
    </row>
    <row r="124" spans="1:9" x14ac:dyDescent="0.25">
      <c r="A124" s="8" t="s">
        <v>443</v>
      </c>
      <c r="B124" s="1" t="s">
        <v>121</v>
      </c>
      <c r="C124" s="1">
        <v>124</v>
      </c>
      <c r="D124" s="1" t="s">
        <v>194</v>
      </c>
      <c r="E124" s="26" t="s">
        <v>491</v>
      </c>
      <c r="F124" s="26">
        <v>2</v>
      </c>
      <c r="G124" s="26" t="s">
        <v>248</v>
      </c>
      <c r="H124" s="26"/>
      <c r="I124" s="8"/>
    </row>
    <row r="125" spans="1:9" x14ac:dyDescent="0.25">
      <c r="A125" s="8" t="s">
        <v>444</v>
      </c>
      <c r="B125" s="1" t="s">
        <v>121</v>
      </c>
      <c r="C125" s="1">
        <v>125</v>
      </c>
      <c r="D125" s="1" t="s">
        <v>194</v>
      </c>
      <c r="E125" s="26" t="s">
        <v>491</v>
      </c>
      <c r="F125" s="26">
        <v>2</v>
      </c>
      <c r="G125" s="26" t="s">
        <v>248</v>
      </c>
      <c r="H125" s="26"/>
      <c r="I125" s="8"/>
    </row>
    <row r="126" spans="1:9" x14ac:dyDescent="0.25">
      <c r="A126" s="8" t="s">
        <v>445</v>
      </c>
      <c r="B126" s="1" t="s">
        <v>121</v>
      </c>
      <c r="C126" s="1">
        <v>126</v>
      </c>
      <c r="D126" s="1" t="s">
        <v>194</v>
      </c>
      <c r="E126" s="26" t="s">
        <v>491</v>
      </c>
      <c r="F126" s="26">
        <v>4</v>
      </c>
      <c r="G126" s="26" t="s">
        <v>260</v>
      </c>
      <c r="H126" s="26"/>
      <c r="I126" s="8"/>
    </row>
    <row r="127" spans="1:9" x14ac:dyDescent="0.25">
      <c r="A127" s="8" t="s">
        <v>446</v>
      </c>
      <c r="B127" s="1" t="s">
        <v>121</v>
      </c>
      <c r="C127" s="1">
        <v>127</v>
      </c>
      <c r="D127" s="1" t="s">
        <v>194</v>
      </c>
      <c r="E127" s="26" t="s">
        <v>491</v>
      </c>
      <c r="F127" s="26">
        <v>4</v>
      </c>
      <c r="G127" s="26" t="s">
        <v>260</v>
      </c>
      <c r="H127" s="26"/>
      <c r="I127" s="8"/>
    </row>
    <row r="128" spans="1:9" x14ac:dyDescent="0.25">
      <c r="A128" s="8" t="s">
        <v>447</v>
      </c>
      <c r="B128" s="1" t="s">
        <v>121</v>
      </c>
      <c r="C128" s="1">
        <v>128</v>
      </c>
      <c r="D128" s="1" t="s">
        <v>194</v>
      </c>
      <c r="E128" s="26" t="s">
        <v>491</v>
      </c>
      <c r="F128" s="26">
        <v>2</v>
      </c>
      <c r="G128" s="26" t="s">
        <v>245</v>
      </c>
      <c r="H128" s="26"/>
      <c r="I128" s="8"/>
    </row>
    <row r="129" spans="1:9" x14ac:dyDescent="0.25">
      <c r="A129" s="8" t="s">
        <v>448</v>
      </c>
      <c r="B129" s="1" t="s">
        <v>121</v>
      </c>
      <c r="C129" s="1">
        <v>129</v>
      </c>
      <c r="D129" s="1" t="s">
        <v>194</v>
      </c>
      <c r="E129" s="26" t="s">
        <v>491</v>
      </c>
      <c r="F129" s="26">
        <v>2</v>
      </c>
      <c r="G129" s="26" t="s">
        <v>245</v>
      </c>
      <c r="H129" s="26"/>
      <c r="I129" s="8"/>
    </row>
    <row r="130" spans="1:9" x14ac:dyDescent="0.25">
      <c r="A130" s="8" t="s">
        <v>449</v>
      </c>
      <c r="B130" s="1" t="s">
        <v>121</v>
      </c>
      <c r="C130" s="1">
        <v>130</v>
      </c>
      <c r="D130" s="1" t="s">
        <v>194</v>
      </c>
      <c r="E130" s="26" t="s">
        <v>491</v>
      </c>
      <c r="F130" s="26">
        <v>2</v>
      </c>
      <c r="G130" s="26" t="s">
        <v>245</v>
      </c>
      <c r="H130" s="26"/>
      <c r="I130" s="8"/>
    </row>
    <row r="131" spans="1:9" x14ac:dyDescent="0.25">
      <c r="A131" s="8" t="s">
        <v>450</v>
      </c>
      <c r="B131" s="1" t="s">
        <v>121</v>
      </c>
      <c r="C131" s="1">
        <v>131</v>
      </c>
      <c r="D131" s="1" t="s">
        <v>194</v>
      </c>
      <c r="E131" s="26" t="s">
        <v>491</v>
      </c>
      <c r="F131" s="26">
        <v>2</v>
      </c>
      <c r="G131" s="26" t="s">
        <v>245</v>
      </c>
      <c r="H131" s="26"/>
      <c r="I131" s="8"/>
    </row>
    <row r="132" spans="1:9" x14ac:dyDescent="0.25">
      <c r="A132" s="8" t="s">
        <v>451</v>
      </c>
      <c r="B132" s="1" t="s">
        <v>121</v>
      </c>
      <c r="C132" s="1">
        <v>132</v>
      </c>
      <c r="D132" s="1" t="s">
        <v>194</v>
      </c>
      <c r="E132" s="26" t="s">
        <v>491</v>
      </c>
      <c r="F132" s="26">
        <v>2</v>
      </c>
      <c r="G132" s="26" t="s">
        <v>245</v>
      </c>
      <c r="H132" s="26"/>
      <c r="I132" s="8"/>
    </row>
    <row r="133" spans="1:9" x14ac:dyDescent="0.25">
      <c r="A133" s="8" t="s">
        <v>452</v>
      </c>
      <c r="B133" s="1" t="s">
        <v>121</v>
      </c>
      <c r="C133" s="1">
        <v>133</v>
      </c>
      <c r="D133" s="1" t="s">
        <v>194</v>
      </c>
      <c r="E133" s="26" t="s">
        <v>491</v>
      </c>
      <c r="F133" s="26">
        <v>2</v>
      </c>
      <c r="G133" s="26" t="s">
        <v>245</v>
      </c>
      <c r="H133" s="26"/>
      <c r="I133" s="8"/>
    </row>
    <row r="134" spans="1:9" x14ac:dyDescent="0.25">
      <c r="A134" s="8" t="s">
        <v>453</v>
      </c>
      <c r="B134" s="1" t="s">
        <v>121</v>
      </c>
      <c r="C134" s="1">
        <v>134</v>
      </c>
      <c r="D134" s="1" t="s">
        <v>194</v>
      </c>
      <c r="E134" s="26" t="s">
        <v>491</v>
      </c>
      <c r="F134" s="26">
        <v>2</v>
      </c>
      <c r="G134" s="26" t="s">
        <v>248</v>
      </c>
      <c r="H134" s="26"/>
      <c r="I134" s="8"/>
    </row>
    <row r="135" spans="1:9" x14ac:dyDescent="0.25">
      <c r="A135" s="8" t="s">
        <v>454</v>
      </c>
      <c r="B135" s="1" t="s">
        <v>121</v>
      </c>
      <c r="C135" s="1">
        <v>135</v>
      </c>
      <c r="D135" s="1" t="s">
        <v>194</v>
      </c>
      <c r="E135" s="26" t="s">
        <v>491</v>
      </c>
      <c r="F135" s="26">
        <v>2</v>
      </c>
      <c r="G135" s="26" t="s">
        <v>248</v>
      </c>
      <c r="H135" s="26"/>
      <c r="I135" s="8"/>
    </row>
    <row r="136" spans="1:9" x14ac:dyDescent="0.25">
      <c r="A136" s="8" t="s">
        <v>455</v>
      </c>
      <c r="B136" s="1" t="s">
        <v>121</v>
      </c>
      <c r="C136" s="1">
        <v>136</v>
      </c>
      <c r="D136" s="1" t="s">
        <v>194</v>
      </c>
      <c r="E136" s="26" t="s">
        <v>491</v>
      </c>
      <c r="F136" s="26">
        <v>2</v>
      </c>
      <c r="G136" s="26" t="s">
        <v>248</v>
      </c>
      <c r="H136" s="26"/>
      <c r="I136" s="8"/>
    </row>
    <row r="137" spans="1:9" x14ac:dyDescent="0.25">
      <c r="A137" s="8" t="s">
        <v>456</v>
      </c>
      <c r="B137" s="1" t="s">
        <v>121</v>
      </c>
      <c r="C137" s="1">
        <v>137</v>
      </c>
      <c r="D137" s="1" t="s">
        <v>194</v>
      </c>
      <c r="E137" s="26" t="s">
        <v>491</v>
      </c>
      <c r="F137" s="26">
        <v>2</v>
      </c>
      <c r="G137" s="26" t="s">
        <v>245</v>
      </c>
      <c r="H137" s="26"/>
      <c r="I137" s="8"/>
    </row>
    <row r="138" spans="1:9" x14ac:dyDescent="0.25">
      <c r="A138" s="8" t="s">
        <v>457</v>
      </c>
      <c r="B138" s="1" t="s">
        <v>121</v>
      </c>
      <c r="C138" s="1">
        <v>138</v>
      </c>
      <c r="D138" s="1" t="s">
        <v>194</v>
      </c>
      <c r="E138" s="26" t="s">
        <v>491</v>
      </c>
      <c r="F138" s="26">
        <v>2</v>
      </c>
      <c r="G138" s="26" t="s">
        <v>245</v>
      </c>
      <c r="H138" s="26"/>
      <c r="I138" s="8"/>
    </row>
    <row r="139" spans="1:9" x14ac:dyDescent="0.25">
      <c r="A139" s="8" t="s">
        <v>458</v>
      </c>
      <c r="B139" s="1" t="s">
        <v>121</v>
      </c>
      <c r="C139" s="1">
        <v>139</v>
      </c>
      <c r="D139" s="1" t="s">
        <v>194</v>
      </c>
      <c r="E139" s="26" t="s">
        <v>491</v>
      </c>
      <c r="F139" s="26">
        <v>2</v>
      </c>
      <c r="G139" s="26" t="s">
        <v>245</v>
      </c>
      <c r="H139" s="26"/>
      <c r="I139" s="8"/>
    </row>
    <row r="140" spans="1:9" x14ac:dyDescent="0.25">
      <c r="A140" s="8" t="s">
        <v>492</v>
      </c>
      <c r="B140" s="1" t="s">
        <v>121</v>
      </c>
      <c r="C140" s="1">
        <v>140</v>
      </c>
      <c r="D140" s="1" t="s">
        <v>194</v>
      </c>
      <c r="E140" s="26" t="s">
        <v>431</v>
      </c>
      <c r="F140" s="26"/>
      <c r="G140" s="26" t="s">
        <v>288</v>
      </c>
      <c r="H140" s="26"/>
      <c r="I140" s="8"/>
    </row>
    <row r="141" spans="1:9" x14ac:dyDescent="0.25">
      <c r="A141" s="8" t="s">
        <v>493</v>
      </c>
      <c r="B141" s="1" t="s">
        <v>121</v>
      </c>
      <c r="C141" s="1">
        <v>141</v>
      </c>
      <c r="D141" s="1" t="s">
        <v>194</v>
      </c>
      <c r="E141" s="26" t="s">
        <v>431</v>
      </c>
      <c r="F141" s="26"/>
      <c r="G141" s="26" t="s">
        <v>288</v>
      </c>
      <c r="H141" s="26"/>
      <c r="I141" s="8"/>
    </row>
    <row r="142" spans="1:9" x14ac:dyDescent="0.25">
      <c r="A142" s="12" t="s">
        <v>459</v>
      </c>
      <c r="B142" s="1" t="s">
        <v>121</v>
      </c>
      <c r="C142" s="1">
        <v>142</v>
      </c>
      <c r="D142" s="1" t="s">
        <v>194</v>
      </c>
      <c r="E142" s="12" t="s">
        <v>431</v>
      </c>
      <c r="F142" s="12"/>
      <c r="G142" s="12" t="s">
        <v>288</v>
      </c>
      <c r="H142" s="12"/>
      <c r="I142" s="12" t="s">
        <v>488</v>
      </c>
    </row>
    <row r="143" spans="1:9" x14ac:dyDescent="0.25">
      <c r="A143" s="12" t="s">
        <v>460</v>
      </c>
      <c r="B143" s="1" t="s">
        <v>121</v>
      </c>
      <c r="C143" s="1">
        <v>143</v>
      </c>
      <c r="D143" s="1" t="s">
        <v>194</v>
      </c>
      <c r="E143" s="12" t="s">
        <v>431</v>
      </c>
      <c r="F143" s="12"/>
      <c r="G143" s="12" t="s">
        <v>288</v>
      </c>
      <c r="H143" s="12"/>
      <c r="I143" s="12" t="s">
        <v>489</v>
      </c>
    </row>
    <row r="144" spans="1:9" x14ac:dyDescent="0.25">
      <c r="A144" s="12" t="s">
        <v>486</v>
      </c>
      <c r="B144" s="1" t="s">
        <v>121</v>
      </c>
      <c r="C144" s="1">
        <v>144</v>
      </c>
      <c r="D144" s="1" t="s">
        <v>194</v>
      </c>
      <c r="E144" s="12"/>
      <c r="F144" s="12"/>
      <c r="G144" s="12"/>
      <c r="H144" s="12"/>
      <c r="I144" s="12" t="s">
        <v>485</v>
      </c>
    </row>
    <row r="145" spans="1:9" x14ac:dyDescent="0.25">
      <c r="A145" s="12" t="s">
        <v>487</v>
      </c>
      <c r="B145" s="1" t="s">
        <v>121</v>
      </c>
      <c r="C145" s="1">
        <v>145</v>
      </c>
      <c r="D145" s="1" t="s">
        <v>194</v>
      </c>
      <c r="E145" s="12"/>
      <c r="F145" s="12"/>
      <c r="G145" s="12"/>
      <c r="H145" s="12"/>
      <c r="I145" s="12"/>
    </row>
    <row r="146" spans="1:9" x14ac:dyDescent="0.25">
      <c r="A146" s="12" t="s">
        <v>461</v>
      </c>
      <c r="B146" s="1" t="s">
        <v>121</v>
      </c>
      <c r="C146" s="1">
        <v>146</v>
      </c>
      <c r="D146" s="1" t="s">
        <v>194</v>
      </c>
      <c r="E146" s="12"/>
      <c r="F146" s="12"/>
      <c r="G146" s="12"/>
      <c r="H146" s="12"/>
      <c r="I146" s="12"/>
    </row>
    <row r="147" spans="1:9" x14ac:dyDescent="0.25">
      <c r="A147" s="12" t="s">
        <v>462</v>
      </c>
      <c r="B147" s="1" t="s">
        <v>121</v>
      </c>
      <c r="C147" s="1">
        <v>147</v>
      </c>
      <c r="D147" s="1" t="s">
        <v>194</v>
      </c>
      <c r="E147" s="12"/>
      <c r="F147" s="12"/>
      <c r="G147" s="12"/>
      <c r="H147" s="12"/>
      <c r="I147" s="12"/>
    </row>
    <row r="148" spans="1:9" x14ac:dyDescent="0.25">
      <c r="A148" s="12" t="s">
        <v>463</v>
      </c>
      <c r="B148" s="1" t="s">
        <v>121</v>
      </c>
      <c r="C148" s="1">
        <v>148</v>
      </c>
      <c r="D148" s="1" t="s">
        <v>194</v>
      </c>
      <c r="E148" s="12"/>
      <c r="F148" s="12"/>
      <c r="G148" s="12"/>
      <c r="H148" s="12"/>
      <c r="I148" s="12"/>
    </row>
    <row r="149" spans="1:9" x14ac:dyDescent="0.25">
      <c r="A149" s="12" t="s">
        <v>464</v>
      </c>
      <c r="B149" s="1" t="s">
        <v>121</v>
      </c>
      <c r="C149" s="1">
        <v>149</v>
      </c>
      <c r="D149" s="1" t="s">
        <v>194</v>
      </c>
      <c r="E149" s="12"/>
      <c r="F149" s="12"/>
      <c r="G149" s="12"/>
      <c r="H149" s="12"/>
      <c r="I149" s="12"/>
    </row>
    <row r="150" spans="1:9" x14ac:dyDescent="0.25">
      <c r="A150" s="12" t="s">
        <v>465</v>
      </c>
      <c r="B150" s="1" t="s">
        <v>121</v>
      </c>
      <c r="C150" s="1">
        <v>150</v>
      </c>
      <c r="D150" s="1" t="s">
        <v>194</v>
      </c>
      <c r="E150" s="12"/>
      <c r="F150" s="12"/>
      <c r="G150" s="12"/>
      <c r="H150" s="12"/>
      <c r="I150" s="12"/>
    </row>
    <row r="151" spans="1:9" x14ac:dyDescent="0.25">
      <c r="A151" s="12" t="s">
        <v>466</v>
      </c>
      <c r="B151" s="1" t="s">
        <v>121</v>
      </c>
      <c r="C151" s="1">
        <v>151</v>
      </c>
      <c r="D151" s="1" t="s">
        <v>194</v>
      </c>
      <c r="E151" s="12"/>
      <c r="F151" s="12"/>
      <c r="G151" s="12"/>
      <c r="H151" s="12"/>
      <c r="I151" s="12"/>
    </row>
    <row r="152" spans="1:9" x14ac:dyDescent="0.25">
      <c r="A152" s="12" t="s">
        <v>467</v>
      </c>
      <c r="B152" s="1" t="s">
        <v>121</v>
      </c>
      <c r="C152" s="1">
        <v>152</v>
      </c>
      <c r="D152" s="1" t="s">
        <v>194</v>
      </c>
      <c r="E152" s="12"/>
      <c r="F152" s="12"/>
      <c r="G152" s="12"/>
      <c r="H152" s="12"/>
      <c r="I152" s="12"/>
    </row>
    <row r="153" spans="1:9" x14ac:dyDescent="0.25">
      <c r="A153" s="12" t="s">
        <v>468</v>
      </c>
      <c r="B153" s="1" t="s">
        <v>121</v>
      </c>
      <c r="C153" s="1">
        <v>153</v>
      </c>
      <c r="D153" s="1" t="s">
        <v>194</v>
      </c>
      <c r="E153" s="12"/>
      <c r="F153" s="12"/>
      <c r="G153" s="12"/>
      <c r="H153" s="12"/>
      <c r="I153" s="12"/>
    </row>
    <row r="154" spans="1:9" x14ac:dyDescent="0.25">
      <c r="A154" s="12" t="s">
        <v>469</v>
      </c>
      <c r="B154" s="1" t="s">
        <v>121</v>
      </c>
      <c r="C154" s="1">
        <v>154</v>
      </c>
      <c r="D154" s="1" t="s">
        <v>194</v>
      </c>
      <c r="E154" s="12"/>
      <c r="F154" s="12"/>
      <c r="G154" s="12"/>
      <c r="H154" s="12"/>
      <c r="I154" s="12"/>
    </row>
    <row r="155" spans="1:9" x14ac:dyDescent="0.25">
      <c r="A155" s="12" t="s">
        <v>470</v>
      </c>
      <c r="B155" s="1" t="s">
        <v>121</v>
      </c>
      <c r="C155" s="1">
        <v>155</v>
      </c>
      <c r="D155" s="1" t="s">
        <v>194</v>
      </c>
      <c r="E155" s="12"/>
      <c r="F155" s="12"/>
      <c r="G155" s="12"/>
      <c r="H155" s="12"/>
      <c r="I155" s="12"/>
    </row>
    <row r="156" spans="1:9" x14ac:dyDescent="0.25">
      <c r="A156" s="12" t="s">
        <v>471</v>
      </c>
      <c r="B156" s="1" t="s">
        <v>121</v>
      </c>
      <c r="C156" s="1">
        <v>156</v>
      </c>
      <c r="D156" s="1" t="s">
        <v>194</v>
      </c>
      <c r="E156" s="12"/>
      <c r="F156" s="12"/>
      <c r="G156" s="12"/>
      <c r="H156" s="12"/>
      <c r="I156" s="12"/>
    </row>
    <row r="157" spans="1:9" x14ac:dyDescent="0.25">
      <c r="A157" s="12" t="s">
        <v>472</v>
      </c>
      <c r="B157" s="1" t="s">
        <v>121</v>
      </c>
      <c r="C157" s="1">
        <v>157</v>
      </c>
      <c r="D157" s="1" t="s">
        <v>194</v>
      </c>
      <c r="E157" s="12"/>
      <c r="F157" s="12"/>
      <c r="G157" s="12"/>
      <c r="H157" s="12"/>
      <c r="I157" s="12"/>
    </row>
    <row r="158" spans="1:9" x14ac:dyDescent="0.25">
      <c r="A158" s="12" t="s">
        <v>473</v>
      </c>
      <c r="B158" s="1" t="s">
        <v>121</v>
      </c>
      <c r="C158" s="1">
        <v>158</v>
      </c>
      <c r="D158" s="1" t="s">
        <v>194</v>
      </c>
      <c r="E158" s="12"/>
      <c r="F158" s="12"/>
      <c r="G158" s="12"/>
      <c r="H158" s="12"/>
      <c r="I158" s="12"/>
    </row>
    <row r="159" spans="1:9" x14ac:dyDescent="0.25">
      <c r="A159" s="12" t="s">
        <v>474</v>
      </c>
      <c r="B159" s="1" t="s">
        <v>121</v>
      </c>
      <c r="C159" s="1">
        <v>159</v>
      </c>
      <c r="D159" s="1" t="s">
        <v>194</v>
      </c>
      <c r="E159" s="12"/>
      <c r="F159" s="12"/>
      <c r="G159" s="12"/>
      <c r="H159" s="12"/>
      <c r="I159" s="12"/>
    </row>
    <row r="160" spans="1:9" x14ac:dyDescent="0.25">
      <c r="A160" s="12" t="s">
        <v>475</v>
      </c>
      <c r="B160" s="1" t="s">
        <v>121</v>
      </c>
      <c r="C160" s="1">
        <v>160</v>
      </c>
      <c r="D160" s="1" t="s">
        <v>194</v>
      </c>
      <c r="E160" s="12"/>
      <c r="F160" s="12"/>
      <c r="G160" s="12"/>
      <c r="H160" s="12"/>
      <c r="I160" s="12"/>
    </row>
    <row r="161" spans="1:9" x14ac:dyDescent="0.25">
      <c r="A161" s="12" t="s">
        <v>476</v>
      </c>
      <c r="B161" s="1" t="s">
        <v>121</v>
      </c>
      <c r="C161" s="1">
        <v>161</v>
      </c>
      <c r="D161" s="1" t="s">
        <v>194</v>
      </c>
      <c r="E161" s="12"/>
      <c r="F161" s="12"/>
      <c r="G161" s="12"/>
      <c r="H161" s="12"/>
      <c r="I161" s="12"/>
    </row>
    <row r="162" spans="1:9" x14ac:dyDescent="0.25">
      <c r="A162" s="12" t="s">
        <v>477</v>
      </c>
      <c r="B162" s="1" t="s">
        <v>121</v>
      </c>
      <c r="C162" s="1">
        <v>162</v>
      </c>
      <c r="D162" s="1" t="s">
        <v>194</v>
      </c>
      <c r="E162" s="12"/>
      <c r="F162" s="12"/>
      <c r="G162" s="12"/>
      <c r="H162" s="12"/>
      <c r="I162" s="12"/>
    </row>
    <row r="163" spans="1:9" x14ac:dyDescent="0.25">
      <c r="A163" s="12" t="s">
        <v>478</v>
      </c>
      <c r="B163" s="1" t="s">
        <v>121</v>
      </c>
      <c r="C163" s="1">
        <v>163</v>
      </c>
      <c r="D163" s="1" t="s">
        <v>194</v>
      </c>
      <c r="E163" s="12"/>
      <c r="F163" s="12"/>
      <c r="G163" s="12"/>
      <c r="H163" s="12"/>
      <c r="I163" s="12"/>
    </row>
    <row r="164" spans="1:9" x14ac:dyDescent="0.25">
      <c r="A164" s="12" t="s">
        <v>479</v>
      </c>
      <c r="B164" s="1" t="s">
        <v>121</v>
      </c>
      <c r="C164" s="1">
        <v>164</v>
      </c>
      <c r="D164" s="1" t="s">
        <v>194</v>
      </c>
      <c r="E164" s="12"/>
      <c r="F164" s="12"/>
      <c r="G164" s="12"/>
      <c r="H164" s="12"/>
      <c r="I164" s="12"/>
    </row>
    <row r="165" spans="1:9" x14ac:dyDescent="0.25">
      <c r="A165" s="12" t="s">
        <v>480</v>
      </c>
      <c r="B165" s="1" t="s">
        <v>121</v>
      </c>
      <c r="C165" s="1">
        <v>165</v>
      </c>
      <c r="D165" s="1" t="s">
        <v>194</v>
      </c>
      <c r="E165" s="12"/>
      <c r="F165" s="12"/>
      <c r="G165" s="12"/>
      <c r="H165" s="12"/>
      <c r="I165" s="12"/>
    </row>
    <row r="166" spans="1:9" x14ac:dyDescent="0.25">
      <c r="A166" s="12" t="s">
        <v>481</v>
      </c>
      <c r="B166" s="1" t="s">
        <v>121</v>
      </c>
      <c r="C166" s="1">
        <v>166</v>
      </c>
      <c r="D166" s="1" t="s">
        <v>194</v>
      </c>
      <c r="E166" s="12"/>
      <c r="F166" s="12"/>
      <c r="G166" s="12"/>
      <c r="H166" s="12"/>
      <c r="I166" s="12"/>
    </row>
    <row r="167" spans="1:9" x14ac:dyDescent="0.25">
      <c r="A167" s="12" t="s">
        <v>482</v>
      </c>
      <c r="B167" s="1" t="s">
        <v>121</v>
      </c>
      <c r="C167" s="1">
        <v>167</v>
      </c>
      <c r="D167" s="1" t="s">
        <v>194</v>
      </c>
      <c r="E167" s="12"/>
      <c r="F167" s="12"/>
      <c r="G167" s="12"/>
      <c r="H167" s="12"/>
      <c r="I167" s="12"/>
    </row>
    <row r="168" spans="1:9" x14ac:dyDescent="0.25">
      <c r="A168" s="12" t="s">
        <v>483</v>
      </c>
      <c r="B168" s="1" t="s">
        <v>121</v>
      </c>
      <c r="C168" s="1">
        <v>168</v>
      </c>
      <c r="D168" s="1" t="s">
        <v>194</v>
      </c>
      <c r="E168" s="12"/>
      <c r="F168" s="12"/>
      <c r="G168" s="12"/>
      <c r="H168" s="12"/>
      <c r="I168" s="12"/>
    </row>
    <row r="169" spans="1:9" x14ac:dyDescent="0.25">
      <c r="A169" s="12" t="s">
        <v>484</v>
      </c>
      <c r="B169" s="1" t="s">
        <v>121</v>
      </c>
      <c r="C169" s="1">
        <v>169</v>
      </c>
      <c r="D169" s="1" t="s">
        <v>194</v>
      </c>
      <c r="E169" s="12"/>
      <c r="F169" s="12"/>
      <c r="G169" s="12"/>
      <c r="H169" s="12"/>
      <c r="I169" s="12"/>
    </row>
    <row r="170" spans="1:9" x14ac:dyDescent="0.25">
      <c r="A170" s="18" t="s">
        <v>127</v>
      </c>
      <c r="B170" s="1" t="s">
        <v>121</v>
      </c>
      <c r="C170" s="1">
        <v>170</v>
      </c>
      <c r="D170" s="1" t="s">
        <v>194</v>
      </c>
      <c r="E170" s="18" t="s">
        <v>431</v>
      </c>
      <c r="F170" s="18"/>
      <c r="G170" s="18" t="s">
        <v>288</v>
      </c>
      <c r="H170" s="18"/>
      <c r="I170" s="18" t="s">
        <v>488</v>
      </c>
    </row>
    <row r="171" spans="1:9" x14ac:dyDescent="0.25">
      <c r="A171" s="18" t="s">
        <v>490</v>
      </c>
      <c r="B171" s="1" t="s">
        <v>121</v>
      </c>
      <c r="C171" s="1">
        <v>171</v>
      </c>
      <c r="D171" s="1" t="s">
        <v>194</v>
      </c>
      <c r="E171" s="18" t="s">
        <v>431</v>
      </c>
      <c r="F171" s="18"/>
      <c r="G171" s="18" t="s">
        <v>288</v>
      </c>
      <c r="H171" s="18"/>
      <c r="I171" s="18" t="s">
        <v>489</v>
      </c>
    </row>
    <row r="172" spans="1:9" x14ac:dyDescent="0.25">
      <c r="A172" s="18" t="s">
        <v>178</v>
      </c>
      <c r="B172" s="1" t="s">
        <v>121</v>
      </c>
      <c r="C172" s="1">
        <v>172</v>
      </c>
      <c r="D172" s="1" t="s">
        <v>194</v>
      </c>
      <c r="E172" s="18"/>
      <c r="F172" s="18"/>
      <c r="G172" s="18"/>
      <c r="H172" s="18"/>
      <c r="I172" s="18" t="s">
        <v>413</v>
      </c>
    </row>
    <row r="173" spans="1:9" x14ac:dyDescent="0.25">
      <c r="A173" s="18" t="s">
        <v>177</v>
      </c>
      <c r="B173" s="1" t="s">
        <v>121</v>
      </c>
      <c r="C173" s="1">
        <v>173</v>
      </c>
      <c r="D173" s="1" t="s">
        <v>194</v>
      </c>
      <c r="E173" s="18"/>
      <c r="F173" s="18"/>
      <c r="G173" s="18"/>
      <c r="H173" s="18"/>
      <c r="I173" s="18" t="s">
        <v>414</v>
      </c>
    </row>
    <row r="174" spans="1:9" x14ac:dyDescent="0.25">
      <c r="A174" s="18" t="s">
        <v>410</v>
      </c>
      <c r="B174" s="1" t="s">
        <v>121</v>
      </c>
      <c r="C174" s="1">
        <v>174</v>
      </c>
      <c r="D174" s="1" t="s">
        <v>194</v>
      </c>
      <c r="E174" s="18"/>
      <c r="F174" s="18"/>
      <c r="G174" s="18"/>
      <c r="H174" s="18"/>
      <c r="I174" s="18" t="s">
        <v>415</v>
      </c>
    </row>
    <row r="175" spans="1:9" x14ac:dyDescent="0.25">
      <c r="A175" s="18" t="s">
        <v>411</v>
      </c>
      <c r="B175" s="1" t="s">
        <v>121</v>
      </c>
      <c r="C175" s="1">
        <v>175</v>
      </c>
      <c r="D175" s="1" t="s">
        <v>194</v>
      </c>
      <c r="E175" s="18"/>
      <c r="F175" s="18"/>
      <c r="G175" s="18"/>
      <c r="H175" s="18"/>
      <c r="I175" s="18" t="s">
        <v>416</v>
      </c>
    </row>
    <row r="176" spans="1:9" x14ac:dyDescent="0.25">
      <c r="A176" s="18" t="s">
        <v>412</v>
      </c>
      <c r="B176" s="1" t="s">
        <v>121</v>
      </c>
      <c r="C176" s="1">
        <v>176</v>
      </c>
      <c r="D176" s="1" t="s">
        <v>194</v>
      </c>
      <c r="E176" s="18"/>
      <c r="F176" s="18"/>
      <c r="G176" s="18"/>
      <c r="H176" s="18"/>
      <c r="I176" s="18" t="s">
        <v>417</v>
      </c>
    </row>
    <row r="177" spans="1:9" x14ac:dyDescent="0.25">
      <c r="A177" s="18" t="s">
        <v>419</v>
      </c>
      <c r="B177" s="1" t="s">
        <v>121</v>
      </c>
      <c r="C177" s="1">
        <v>177</v>
      </c>
      <c r="D177" s="1" t="s">
        <v>194</v>
      </c>
      <c r="E177" s="18"/>
      <c r="F177" s="18"/>
      <c r="G177" s="18"/>
      <c r="H177" s="18"/>
      <c r="I177" s="18" t="s">
        <v>418</v>
      </c>
    </row>
    <row r="178" spans="1:9" x14ac:dyDescent="0.25">
      <c r="A178" s="18" t="s">
        <v>126</v>
      </c>
      <c r="B178" s="1" t="s">
        <v>121</v>
      </c>
      <c r="C178" s="1">
        <v>178</v>
      </c>
      <c r="D178" s="1" t="s">
        <v>194</v>
      </c>
      <c r="E178" s="18"/>
      <c r="F178" s="18"/>
      <c r="G178" s="18"/>
      <c r="H178" s="18"/>
      <c r="I178" s="18" t="s">
        <v>420</v>
      </c>
    </row>
    <row r="179" spans="1:9" x14ac:dyDescent="0.25">
      <c r="A179" s="18" t="s">
        <v>407</v>
      </c>
      <c r="B179" s="1" t="s">
        <v>121</v>
      </c>
      <c r="C179" s="1">
        <v>179</v>
      </c>
      <c r="D179" s="1" t="s">
        <v>194</v>
      </c>
      <c r="E179" s="18"/>
      <c r="F179" s="18"/>
      <c r="G179" s="18"/>
      <c r="H179" s="18"/>
      <c r="I179" s="18" t="s">
        <v>422</v>
      </c>
    </row>
    <row r="180" spans="1:9" x14ac:dyDescent="0.25">
      <c r="A180" s="18" t="s">
        <v>408</v>
      </c>
      <c r="B180" s="1" t="s">
        <v>121</v>
      </c>
      <c r="C180" s="1">
        <v>180</v>
      </c>
      <c r="D180" s="1" t="s">
        <v>194</v>
      </c>
      <c r="E180" s="18"/>
      <c r="F180" s="18"/>
      <c r="G180" s="18"/>
      <c r="H180" s="18"/>
      <c r="I180" s="18" t="s">
        <v>421</v>
      </c>
    </row>
    <row r="181" spans="1:9" x14ac:dyDescent="0.25">
      <c r="A181" s="18" t="s">
        <v>406</v>
      </c>
      <c r="B181" s="1" t="s">
        <v>121</v>
      </c>
      <c r="C181" s="1">
        <v>181</v>
      </c>
      <c r="D181" s="1" t="s">
        <v>194</v>
      </c>
      <c r="E181" s="18"/>
      <c r="F181" s="18"/>
      <c r="G181" s="18"/>
      <c r="H181" s="18"/>
      <c r="I181" s="18" t="s">
        <v>193</v>
      </c>
    </row>
    <row r="182" spans="1:9" x14ac:dyDescent="0.25">
      <c r="A182" s="18" t="s">
        <v>423</v>
      </c>
      <c r="B182" s="1" t="s">
        <v>121</v>
      </c>
      <c r="C182" s="1">
        <v>182</v>
      </c>
      <c r="D182" s="1" t="s">
        <v>194</v>
      </c>
      <c r="E182" s="18"/>
      <c r="F182" s="18"/>
      <c r="G182" s="18"/>
      <c r="H182" s="18"/>
      <c r="I182" s="18" t="s">
        <v>228</v>
      </c>
    </row>
    <row r="183" spans="1:9" x14ac:dyDescent="0.25">
      <c r="A183" s="18" t="s">
        <v>424</v>
      </c>
      <c r="B183" s="1" t="s">
        <v>121</v>
      </c>
      <c r="C183" s="1">
        <v>183</v>
      </c>
      <c r="D183" s="1" t="s">
        <v>194</v>
      </c>
      <c r="E183" s="18"/>
      <c r="F183" s="18"/>
      <c r="G183" s="18"/>
      <c r="H183" s="18"/>
      <c r="I183" s="18" t="s">
        <v>229</v>
      </c>
    </row>
    <row r="184" spans="1:9" x14ac:dyDescent="0.25">
      <c r="A184" s="18" t="s">
        <v>179</v>
      </c>
      <c r="B184" s="1" t="s">
        <v>121</v>
      </c>
      <c r="C184" s="1">
        <v>184</v>
      </c>
      <c r="D184" s="1" t="s">
        <v>194</v>
      </c>
      <c r="E184" s="18"/>
      <c r="F184" s="18"/>
      <c r="G184" s="18"/>
      <c r="H184" s="18"/>
      <c r="I184" s="18" t="s">
        <v>425</v>
      </c>
    </row>
    <row r="185" spans="1:9" x14ac:dyDescent="0.25">
      <c r="A185" s="18" t="s">
        <v>180</v>
      </c>
      <c r="B185" s="1" t="s">
        <v>121</v>
      </c>
      <c r="C185" s="1">
        <v>185</v>
      </c>
      <c r="D185" s="1" t="s">
        <v>194</v>
      </c>
      <c r="E185" s="18"/>
      <c r="F185" s="18"/>
      <c r="G185" s="18"/>
      <c r="H185" s="18"/>
      <c r="I185" s="18" t="s">
        <v>425</v>
      </c>
    </row>
    <row r="186" spans="1:9" x14ac:dyDescent="0.25">
      <c r="A186" s="18" t="s">
        <v>290</v>
      </c>
      <c r="B186" s="1" t="s">
        <v>121</v>
      </c>
      <c r="C186" s="1">
        <v>186</v>
      </c>
      <c r="D186" s="1" t="s">
        <v>194</v>
      </c>
      <c r="E186" s="18"/>
      <c r="F186" s="18"/>
      <c r="G186" s="18"/>
      <c r="H186" s="18"/>
      <c r="I186" s="18" t="s">
        <v>425</v>
      </c>
    </row>
    <row r="187" spans="1:9" x14ac:dyDescent="0.25">
      <c r="B187" s="1"/>
      <c r="C187" s="1"/>
    </row>
    <row r="188" spans="1:9" x14ac:dyDescent="0.25">
      <c r="B188" s="1"/>
    </row>
    <row r="189" spans="1:9" x14ac:dyDescent="0.25">
      <c r="B189" s="1"/>
    </row>
    <row r="190" spans="1:9" x14ac:dyDescent="0.25">
      <c r="B190" s="1"/>
    </row>
    <row r="191" spans="1:9" x14ac:dyDescent="0.25">
      <c r="B191" s="1"/>
    </row>
    <row r="192" spans="1:9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1E94-BA96-487E-B0C7-06A8DE4B7C76}">
  <sheetPr codeName="Sheet14"/>
  <dimension ref="A1:GD1"/>
  <sheetViews>
    <sheetView workbookViewId="0">
      <selection activeCell="A3" sqref="A3"/>
    </sheetView>
  </sheetViews>
  <sheetFormatPr defaultRowHeight="15" x14ac:dyDescent="0.25"/>
  <cols>
    <col min="1" max="1" width="18" bestFit="1" customWidth="1"/>
    <col min="2" max="3" width="21.42578125" bestFit="1" customWidth="1"/>
    <col min="4" max="13" width="19.7109375" bestFit="1" customWidth="1"/>
    <col min="14" max="16" width="13.140625" bestFit="1" customWidth="1"/>
    <col min="17" max="17" width="22.42578125" bestFit="1" customWidth="1"/>
    <col min="18" max="18" width="18.7109375" bestFit="1" customWidth="1"/>
    <col min="19" max="19" width="12.7109375" bestFit="1" customWidth="1"/>
    <col min="20" max="20" width="12.85546875" bestFit="1" customWidth="1"/>
    <col min="21" max="21" width="13.42578125" bestFit="1" customWidth="1"/>
    <col min="22" max="23" width="12.85546875" bestFit="1" customWidth="1"/>
    <col min="24" max="24" width="13.140625" bestFit="1" customWidth="1"/>
    <col min="25" max="25" width="13.5703125" bestFit="1" customWidth="1"/>
    <col min="26" max="26" width="13.140625" bestFit="1" customWidth="1"/>
    <col min="27" max="27" width="19" bestFit="1" customWidth="1"/>
    <col min="28" max="28" width="22" bestFit="1" customWidth="1"/>
    <col min="29" max="29" width="19" bestFit="1" customWidth="1"/>
    <col min="30" max="30" width="22" bestFit="1" customWidth="1"/>
    <col min="31" max="31" width="19.5703125" bestFit="1" customWidth="1"/>
    <col min="32" max="32" width="22.5703125" bestFit="1" customWidth="1"/>
    <col min="33" max="33" width="14.85546875" bestFit="1" customWidth="1"/>
    <col min="34" max="35" width="16.85546875" bestFit="1" customWidth="1"/>
    <col min="36" max="36" width="15.42578125" bestFit="1" customWidth="1"/>
    <col min="37" max="37" width="12" bestFit="1" customWidth="1"/>
    <col min="38" max="38" width="11.42578125" bestFit="1" customWidth="1"/>
    <col min="39" max="39" width="17.7109375" bestFit="1" customWidth="1"/>
    <col min="40" max="40" width="20.7109375" bestFit="1" customWidth="1"/>
    <col min="41" max="41" width="18.28515625" bestFit="1" customWidth="1"/>
    <col min="42" max="42" width="21.140625" bestFit="1" customWidth="1"/>
    <col min="43" max="43" width="16.85546875" bestFit="1" customWidth="1"/>
    <col min="44" max="44" width="22.140625" bestFit="1" customWidth="1"/>
    <col min="45" max="45" width="25" bestFit="1" customWidth="1"/>
    <col min="46" max="46" width="23.140625" bestFit="1" customWidth="1"/>
    <col min="47" max="47" width="26.140625" bestFit="1" customWidth="1"/>
    <col min="48" max="48" width="14.5703125" bestFit="1" customWidth="1"/>
    <col min="49" max="49" width="16.28515625" bestFit="1" customWidth="1"/>
    <col min="50" max="50" width="14.42578125" bestFit="1" customWidth="1"/>
    <col min="51" max="51" width="16.140625" bestFit="1" customWidth="1"/>
    <col min="52" max="52" width="12" bestFit="1" customWidth="1"/>
    <col min="53" max="53" width="11.140625" bestFit="1" customWidth="1"/>
    <col min="54" max="54" width="12.140625" bestFit="1" customWidth="1"/>
    <col min="55" max="55" width="12.85546875" bestFit="1" customWidth="1"/>
    <col min="56" max="56" width="13.5703125" bestFit="1" customWidth="1"/>
    <col min="57" max="57" width="16.42578125" bestFit="1" customWidth="1"/>
    <col min="58" max="58" width="16" bestFit="1" customWidth="1"/>
    <col min="59" max="59" width="16.28515625" bestFit="1" customWidth="1"/>
    <col min="60" max="60" width="15.5703125" bestFit="1" customWidth="1"/>
    <col min="61" max="61" width="15" bestFit="1" customWidth="1"/>
    <col min="62" max="62" width="14.7109375" bestFit="1" customWidth="1"/>
    <col min="63" max="63" width="16" bestFit="1" customWidth="1"/>
    <col min="64" max="64" width="16.42578125" bestFit="1" customWidth="1"/>
    <col min="65" max="88" width="18.42578125" bestFit="1" customWidth="1"/>
  </cols>
  <sheetData>
    <row r="1" spans="1:186" x14ac:dyDescent="0.25">
      <c r="A1" s="9" t="s">
        <v>3</v>
      </c>
      <c r="B1" s="9" t="s">
        <v>430</v>
      </c>
      <c r="C1" s="13" t="s">
        <v>271</v>
      </c>
      <c r="D1" s="13" t="s">
        <v>3</v>
      </c>
      <c r="E1" s="13" t="s">
        <v>674</v>
      </c>
      <c r="F1" s="13" t="s">
        <v>186</v>
      </c>
      <c r="G1" s="13" t="s">
        <v>187</v>
      </c>
      <c r="H1" s="13" t="s">
        <v>188</v>
      </c>
      <c r="I1" s="13" t="s">
        <v>189</v>
      </c>
      <c r="J1" s="13" t="s">
        <v>272</v>
      </c>
      <c r="K1" s="13" t="s">
        <v>23</v>
      </c>
      <c r="L1" s="13" t="s">
        <v>4</v>
      </c>
      <c r="M1" s="13" t="s">
        <v>183</v>
      </c>
      <c r="N1" s="13" t="s">
        <v>184</v>
      </c>
      <c r="O1" s="13" t="s">
        <v>185</v>
      </c>
      <c r="P1" s="13" t="s">
        <v>190</v>
      </c>
      <c r="Q1" s="13" t="s">
        <v>191</v>
      </c>
      <c r="R1" s="13" t="s">
        <v>192</v>
      </c>
      <c r="S1" s="13" t="s">
        <v>28</v>
      </c>
      <c r="T1" s="13" t="s">
        <v>29</v>
      </c>
      <c r="U1" s="13" t="s">
        <v>30</v>
      </c>
      <c r="V1" s="13" t="s">
        <v>31</v>
      </c>
      <c r="W1" s="13" t="s">
        <v>32</v>
      </c>
      <c r="X1" s="13" t="s">
        <v>33</v>
      </c>
      <c r="Y1" s="13" t="s">
        <v>675</v>
      </c>
      <c r="Z1" s="13" t="s">
        <v>129</v>
      </c>
      <c r="AA1" s="13" t="s">
        <v>132</v>
      </c>
      <c r="AB1" s="9" t="s">
        <v>366</v>
      </c>
      <c r="AC1" s="9" t="s">
        <v>367</v>
      </c>
      <c r="AD1" s="9" t="s">
        <v>676</v>
      </c>
      <c r="AE1" s="9" t="s">
        <v>368</v>
      </c>
      <c r="AF1" s="9" t="s">
        <v>369</v>
      </c>
      <c r="AG1" s="9" t="s">
        <v>370</v>
      </c>
      <c r="AH1" s="9" t="s">
        <v>371</v>
      </c>
      <c r="AI1" s="9" t="s">
        <v>372</v>
      </c>
      <c r="AJ1" s="9" t="s">
        <v>373</v>
      </c>
      <c r="AK1" s="9" t="s">
        <v>374</v>
      </c>
      <c r="AL1" s="9" t="s">
        <v>375</v>
      </c>
      <c r="AM1" s="9" t="s">
        <v>376</v>
      </c>
      <c r="AN1" s="9" t="s">
        <v>377</v>
      </c>
      <c r="AO1" s="9" t="s">
        <v>378</v>
      </c>
      <c r="AP1" s="9" t="s">
        <v>379</v>
      </c>
      <c r="AQ1" s="9" t="s">
        <v>380</v>
      </c>
      <c r="AR1" s="9" t="s">
        <v>381</v>
      </c>
      <c r="AS1" s="9" t="s">
        <v>382</v>
      </c>
      <c r="AT1" s="9" t="s">
        <v>383</v>
      </c>
      <c r="AU1" s="9" t="s">
        <v>384</v>
      </c>
      <c r="AV1" s="9" t="s">
        <v>385</v>
      </c>
      <c r="AW1" s="9" t="s">
        <v>386</v>
      </c>
      <c r="AX1" s="9" t="s">
        <v>677</v>
      </c>
      <c r="AY1" s="9" t="s">
        <v>387</v>
      </c>
      <c r="AZ1" s="9" t="s">
        <v>388</v>
      </c>
      <c r="BA1" s="15" t="s">
        <v>390</v>
      </c>
      <c r="BB1" s="15" t="s">
        <v>391</v>
      </c>
      <c r="BC1" s="15" t="s">
        <v>392</v>
      </c>
      <c r="BD1" s="15" t="s">
        <v>393</v>
      </c>
      <c r="BE1" s="15" t="s">
        <v>426</v>
      </c>
      <c r="BF1" s="15" t="s">
        <v>427</v>
      </c>
      <c r="BG1" s="15" t="s">
        <v>428</v>
      </c>
      <c r="BH1" s="15" t="s">
        <v>429</v>
      </c>
      <c r="BI1" s="15" t="s">
        <v>394</v>
      </c>
      <c r="BJ1" s="15" t="s">
        <v>395</v>
      </c>
      <c r="BK1" s="15" t="s">
        <v>396</v>
      </c>
      <c r="BL1" s="15" t="s">
        <v>397</v>
      </c>
      <c r="BM1" s="15" t="s">
        <v>398</v>
      </c>
      <c r="BN1" s="15" t="s">
        <v>399</v>
      </c>
      <c r="BO1" s="15" t="s">
        <v>400</v>
      </c>
      <c r="BP1" s="15" t="s">
        <v>401</v>
      </c>
      <c r="BQ1" s="15" t="s">
        <v>402</v>
      </c>
      <c r="BR1" s="15" t="s">
        <v>403</v>
      </c>
      <c r="BS1" s="15" t="s">
        <v>404</v>
      </c>
      <c r="BT1" s="15" t="s">
        <v>405</v>
      </c>
      <c r="BU1" s="11" t="s">
        <v>433</v>
      </c>
      <c r="BV1" s="11" t="s">
        <v>432</v>
      </c>
      <c r="BW1" s="11" t="s">
        <v>230</v>
      </c>
      <c r="BX1" s="11" t="s">
        <v>231</v>
      </c>
      <c r="BY1" s="11" t="s">
        <v>678</v>
      </c>
      <c r="BZ1" s="11" t="s">
        <v>235</v>
      </c>
      <c r="CA1" s="11" t="s">
        <v>236</v>
      </c>
      <c r="CB1" s="11" t="s">
        <v>212</v>
      </c>
      <c r="CC1" s="11" t="s">
        <v>213</v>
      </c>
      <c r="CD1" s="11" t="s">
        <v>256</v>
      </c>
      <c r="CE1" s="11" t="s">
        <v>232</v>
      </c>
      <c r="CF1" s="11" t="s">
        <v>233</v>
      </c>
      <c r="CG1" s="11" t="s">
        <v>211</v>
      </c>
      <c r="CH1" s="11" t="s">
        <v>234</v>
      </c>
      <c r="CI1" s="11" t="s">
        <v>237</v>
      </c>
      <c r="CJ1" s="11" t="s">
        <v>238</v>
      </c>
      <c r="CK1" s="11" t="s">
        <v>239</v>
      </c>
      <c r="CL1" s="11" t="s">
        <v>214</v>
      </c>
      <c r="CM1" s="11" t="s">
        <v>215</v>
      </c>
      <c r="CN1" s="11" t="s">
        <v>216</v>
      </c>
      <c r="CO1" s="11" t="s">
        <v>217</v>
      </c>
      <c r="CP1" s="11" t="s">
        <v>218</v>
      </c>
      <c r="CQ1" s="11" t="s">
        <v>219</v>
      </c>
      <c r="CR1" s="11" t="s">
        <v>220</v>
      </c>
      <c r="CS1" s="11" t="s">
        <v>221</v>
      </c>
      <c r="CT1" s="11" t="s">
        <v>222</v>
      </c>
      <c r="CU1" s="11" t="s">
        <v>223</v>
      </c>
      <c r="CV1" s="11" t="s">
        <v>224</v>
      </c>
      <c r="CW1" s="11" t="s">
        <v>225</v>
      </c>
      <c r="CX1" s="11" t="s">
        <v>241</v>
      </c>
      <c r="CY1" s="11" t="s">
        <v>243</v>
      </c>
      <c r="CZ1" s="11" t="s">
        <v>242</v>
      </c>
      <c r="DA1" s="11" t="s">
        <v>226</v>
      </c>
      <c r="DB1" s="11" t="s">
        <v>227</v>
      </c>
      <c r="DC1" s="16" t="s">
        <v>209</v>
      </c>
      <c r="DD1" s="16" t="s">
        <v>210</v>
      </c>
      <c r="DE1" s="16" t="s">
        <v>198</v>
      </c>
      <c r="DF1" s="16" t="s">
        <v>199</v>
      </c>
      <c r="DG1" s="16" t="s">
        <v>197</v>
      </c>
      <c r="DH1" s="16" t="s">
        <v>195</v>
      </c>
      <c r="DI1" s="16" t="s">
        <v>196</v>
      </c>
      <c r="DJ1" s="16" t="s">
        <v>201</v>
      </c>
      <c r="DK1" s="16" t="s">
        <v>206</v>
      </c>
      <c r="DL1" s="16" t="s">
        <v>207</v>
      </c>
      <c r="DM1" s="16" t="s">
        <v>208</v>
      </c>
      <c r="DN1" s="16" t="s">
        <v>265</v>
      </c>
      <c r="DO1" s="17" t="s">
        <v>181</v>
      </c>
      <c r="DP1" s="17" t="s">
        <v>182</v>
      </c>
      <c r="DQ1" s="8" t="s">
        <v>440</v>
      </c>
      <c r="DR1" s="8" t="s">
        <v>441</v>
      </c>
      <c r="DS1" s="8" t="s">
        <v>442</v>
      </c>
      <c r="DT1" s="8" t="s">
        <v>443</v>
      </c>
      <c r="DU1" s="8" t="s">
        <v>444</v>
      </c>
      <c r="DV1" s="8" t="s">
        <v>445</v>
      </c>
      <c r="DW1" s="8" t="s">
        <v>446</v>
      </c>
      <c r="DX1" s="8" t="s">
        <v>447</v>
      </c>
      <c r="DY1" s="8" t="s">
        <v>448</v>
      </c>
      <c r="DZ1" s="8" t="s">
        <v>449</v>
      </c>
      <c r="EA1" s="8" t="s">
        <v>450</v>
      </c>
      <c r="EB1" s="8" t="s">
        <v>451</v>
      </c>
      <c r="EC1" s="8" t="s">
        <v>452</v>
      </c>
      <c r="ED1" s="8" t="s">
        <v>453</v>
      </c>
      <c r="EE1" s="8" t="s">
        <v>454</v>
      </c>
      <c r="EF1" s="8" t="s">
        <v>455</v>
      </c>
      <c r="EG1" s="8" t="s">
        <v>456</v>
      </c>
      <c r="EH1" s="8" t="s">
        <v>457</v>
      </c>
      <c r="EI1" s="8" t="s">
        <v>458</v>
      </c>
      <c r="EJ1" s="8" t="s">
        <v>492</v>
      </c>
      <c r="EK1" s="8" t="s">
        <v>493</v>
      </c>
      <c r="EL1" s="12" t="s">
        <v>459</v>
      </c>
      <c r="EM1" s="12" t="s">
        <v>460</v>
      </c>
      <c r="EN1" s="12" t="s">
        <v>486</v>
      </c>
      <c r="EO1" s="12" t="s">
        <v>487</v>
      </c>
      <c r="EP1" s="12" t="s">
        <v>461</v>
      </c>
      <c r="EQ1" s="12" t="s">
        <v>462</v>
      </c>
      <c r="ER1" s="12" t="s">
        <v>463</v>
      </c>
      <c r="ES1" s="12" t="s">
        <v>464</v>
      </c>
      <c r="ET1" s="12" t="s">
        <v>465</v>
      </c>
      <c r="EU1" s="12" t="s">
        <v>466</v>
      </c>
      <c r="EV1" s="12" t="s">
        <v>467</v>
      </c>
      <c r="EW1" s="12" t="s">
        <v>468</v>
      </c>
      <c r="EX1" s="12" t="s">
        <v>469</v>
      </c>
      <c r="EY1" s="12" t="s">
        <v>470</v>
      </c>
      <c r="EZ1" s="12" t="s">
        <v>471</v>
      </c>
      <c r="FA1" s="12" t="s">
        <v>472</v>
      </c>
      <c r="FB1" s="12" t="s">
        <v>473</v>
      </c>
      <c r="FC1" s="12" t="s">
        <v>474</v>
      </c>
      <c r="FD1" s="12" t="s">
        <v>475</v>
      </c>
      <c r="FE1" s="12" t="s">
        <v>476</v>
      </c>
      <c r="FF1" s="12" t="s">
        <v>477</v>
      </c>
      <c r="FG1" s="12" t="s">
        <v>478</v>
      </c>
      <c r="FH1" s="12" t="s">
        <v>479</v>
      </c>
      <c r="FI1" s="12" t="s">
        <v>480</v>
      </c>
      <c r="FJ1" s="12" t="s">
        <v>481</v>
      </c>
      <c r="FK1" s="12" t="s">
        <v>482</v>
      </c>
      <c r="FL1" s="12" t="s">
        <v>483</v>
      </c>
      <c r="FM1" s="12" t="s">
        <v>484</v>
      </c>
      <c r="FN1" s="18" t="s">
        <v>127</v>
      </c>
      <c r="FO1" s="18" t="s">
        <v>490</v>
      </c>
      <c r="FP1" s="18" t="s">
        <v>178</v>
      </c>
      <c r="FQ1" s="18" t="s">
        <v>177</v>
      </c>
      <c r="FR1" s="18" t="s">
        <v>410</v>
      </c>
      <c r="FS1" s="18" t="s">
        <v>411</v>
      </c>
      <c r="FT1" s="18" t="s">
        <v>412</v>
      </c>
      <c r="FU1" s="18" t="s">
        <v>419</v>
      </c>
      <c r="FV1" s="18" t="s">
        <v>126</v>
      </c>
      <c r="FW1" s="18" t="s">
        <v>407</v>
      </c>
      <c r="FX1" s="18" t="s">
        <v>408</v>
      </c>
      <c r="FY1" s="18" t="s">
        <v>406</v>
      </c>
      <c r="FZ1" s="18" t="s">
        <v>423</v>
      </c>
      <c r="GA1" s="18" t="s">
        <v>424</v>
      </c>
      <c r="GB1" s="18" t="s">
        <v>179</v>
      </c>
      <c r="GC1" s="18" t="s">
        <v>180</v>
      </c>
      <c r="GD1" s="18" t="s">
        <v>290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471C-146D-4046-8FB6-FDAE29C16B26}">
  <sheetPr codeName="Sheet15"/>
  <dimension ref="B3:K81"/>
  <sheetViews>
    <sheetView workbookViewId="0">
      <selection activeCell="B12" sqref="B12"/>
    </sheetView>
  </sheetViews>
  <sheetFormatPr defaultRowHeight="15" x14ac:dyDescent="0.25"/>
  <cols>
    <col min="2" max="2" width="53.7109375" bestFit="1" customWidth="1"/>
    <col min="4" max="4" width="24.7109375" bestFit="1" customWidth="1"/>
    <col min="5" max="5" width="10.140625" bestFit="1" customWidth="1"/>
  </cols>
  <sheetData>
    <row r="3" spans="2:11" x14ac:dyDescent="0.25">
      <c r="B3" t="s">
        <v>294</v>
      </c>
    </row>
    <row r="5" spans="2:11" x14ac:dyDescent="0.25">
      <c r="B5" t="s">
        <v>295</v>
      </c>
    </row>
    <row r="6" spans="2:11" x14ac:dyDescent="0.25">
      <c r="B6" t="s">
        <v>296</v>
      </c>
      <c r="D6" s="22">
        <v>45960</v>
      </c>
      <c r="E6" s="23">
        <v>0.67569444444444449</v>
      </c>
      <c r="F6">
        <f>D47-D6</f>
        <v>4</v>
      </c>
      <c r="G6" s="23">
        <v>0.17708333333333334</v>
      </c>
    </row>
    <row r="7" spans="2:11" x14ac:dyDescent="0.25">
      <c r="B7" t="s">
        <v>297</v>
      </c>
    </row>
    <row r="8" spans="2:11" x14ac:dyDescent="0.25">
      <c r="B8" s="10" t="s">
        <v>298</v>
      </c>
      <c r="C8" s="10" t="s">
        <v>348</v>
      </c>
      <c r="D8" s="21">
        <v>17976723</v>
      </c>
      <c r="E8" s="24">
        <f>D49</f>
        <v>18020713</v>
      </c>
      <c r="F8" s="24">
        <f>E8-D8</f>
        <v>43990</v>
      </c>
      <c r="G8" t="s">
        <v>346</v>
      </c>
      <c r="H8" s="25">
        <f>F8/1000</f>
        <v>43.99</v>
      </c>
      <c r="I8" t="s">
        <v>21</v>
      </c>
      <c r="J8" s="25">
        <f>H8+H9</f>
        <v>65.103999999999999</v>
      </c>
      <c r="K8" t="s">
        <v>21</v>
      </c>
    </row>
    <row r="9" spans="2:11" x14ac:dyDescent="0.25">
      <c r="B9" s="10" t="s">
        <v>299</v>
      </c>
      <c r="C9" s="10" t="s">
        <v>348</v>
      </c>
      <c r="D9" s="21">
        <v>13530092</v>
      </c>
      <c r="E9" s="24">
        <f t="shared" ref="E9:E11" si="0">D50</f>
        <v>13551206</v>
      </c>
      <c r="F9" s="24">
        <f t="shared" ref="F9:F11" si="1">E9-D9</f>
        <v>21114</v>
      </c>
      <c r="G9" t="s">
        <v>346</v>
      </c>
      <c r="H9" s="25">
        <f t="shared" ref="H9:H11" si="2">F9/1000</f>
        <v>21.114000000000001</v>
      </c>
      <c r="I9" t="s">
        <v>21</v>
      </c>
    </row>
    <row r="10" spans="2:11" x14ac:dyDescent="0.25">
      <c r="B10" s="10" t="s">
        <v>300</v>
      </c>
      <c r="C10" s="10" t="s">
        <v>347</v>
      </c>
      <c r="D10" s="21">
        <v>1991034</v>
      </c>
      <c r="E10" s="24">
        <f t="shared" si="0"/>
        <v>1991955</v>
      </c>
      <c r="F10" s="24">
        <f t="shared" si="1"/>
        <v>921</v>
      </c>
      <c r="G10" t="s">
        <v>346</v>
      </c>
      <c r="H10" s="25">
        <f t="shared" si="2"/>
        <v>0.92100000000000004</v>
      </c>
      <c r="I10" t="s">
        <v>21</v>
      </c>
      <c r="J10" s="25">
        <f>H10+H11</f>
        <v>1.222</v>
      </c>
      <c r="K10" t="s">
        <v>21</v>
      </c>
    </row>
    <row r="11" spans="2:11" x14ac:dyDescent="0.25">
      <c r="B11" s="10" t="s">
        <v>301</v>
      </c>
      <c r="C11" s="10" t="s">
        <v>347</v>
      </c>
      <c r="D11" s="21">
        <v>4626697</v>
      </c>
      <c r="E11" s="24">
        <f t="shared" si="0"/>
        <v>4626998</v>
      </c>
      <c r="F11" s="24">
        <f t="shared" si="1"/>
        <v>301</v>
      </c>
      <c r="G11" t="s">
        <v>346</v>
      </c>
      <c r="H11" s="25">
        <f t="shared" si="2"/>
        <v>0.30099999999999999</v>
      </c>
      <c r="I11" t="s">
        <v>21</v>
      </c>
    </row>
    <row r="12" spans="2:11" x14ac:dyDescent="0.25">
      <c r="B12" t="s">
        <v>302</v>
      </c>
    </row>
    <row r="13" spans="2:11" x14ac:dyDescent="0.25">
      <c r="B13" t="s">
        <v>303</v>
      </c>
    </row>
    <row r="14" spans="2:11" x14ac:dyDescent="0.25">
      <c r="B14" t="s">
        <v>304</v>
      </c>
    </row>
    <row r="15" spans="2:11" x14ac:dyDescent="0.25">
      <c r="B15" t="s">
        <v>305</v>
      </c>
    </row>
    <row r="16" spans="2:11" x14ac:dyDescent="0.25">
      <c r="B16" t="s">
        <v>306</v>
      </c>
    </row>
    <row r="17" spans="2:2" x14ac:dyDescent="0.25">
      <c r="B17" t="s">
        <v>307</v>
      </c>
    </row>
    <row r="18" spans="2:2" x14ac:dyDescent="0.25">
      <c r="B18" t="s">
        <v>308</v>
      </c>
    </row>
    <row r="19" spans="2:2" x14ac:dyDescent="0.25">
      <c r="B19" t="s">
        <v>309</v>
      </c>
    </row>
    <row r="20" spans="2:2" x14ac:dyDescent="0.25">
      <c r="B20" t="s">
        <v>310</v>
      </c>
    </row>
    <row r="21" spans="2:2" x14ac:dyDescent="0.25">
      <c r="B21" t="s">
        <v>311</v>
      </c>
    </row>
    <row r="22" spans="2:2" x14ac:dyDescent="0.25">
      <c r="B22" t="s">
        <v>312</v>
      </c>
    </row>
    <row r="23" spans="2:2" x14ac:dyDescent="0.25">
      <c r="B23" t="s">
        <v>313</v>
      </c>
    </row>
    <row r="24" spans="2:2" x14ac:dyDescent="0.25">
      <c r="B24" t="s">
        <v>314</v>
      </c>
    </row>
    <row r="25" spans="2:2" x14ac:dyDescent="0.25">
      <c r="B25" t="s">
        <v>315</v>
      </c>
    </row>
    <row r="26" spans="2:2" x14ac:dyDescent="0.25">
      <c r="B26" t="s">
        <v>316</v>
      </c>
    </row>
    <row r="27" spans="2:2" x14ac:dyDescent="0.25">
      <c r="B27" t="s">
        <v>317</v>
      </c>
    </row>
    <row r="28" spans="2:2" x14ac:dyDescent="0.25">
      <c r="B28" t="s">
        <v>318</v>
      </c>
    </row>
    <row r="29" spans="2:2" x14ac:dyDescent="0.25">
      <c r="B29" t="s">
        <v>319</v>
      </c>
    </row>
    <row r="30" spans="2:2" x14ac:dyDescent="0.25">
      <c r="B30" t="s">
        <v>320</v>
      </c>
    </row>
    <row r="31" spans="2:2" x14ac:dyDescent="0.25">
      <c r="B31" s="20" t="s">
        <v>321</v>
      </c>
    </row>
    <row r="32" spans="2:2" x14ac:dyDescent="0.25">
      <c r="B32" s="20" t="s">
        <v>322</v>
      </c>
    </row>
    <row r="33" spans="2:8" x14ac:dyDescent="0.25">
      <c r="B33" s="20" t="s">
        <v>323</v>
      </c>
    </row>
    <row r="34" spans="2:8" x14ac:dyDescent="0.25">
      <c r="B34" s="20" t="s">
        <v>324</v>
      </c>
    </row>
    <row r="35" spans="2:8" x14ac:dyDescent="0.25">
      <c r="B35" s="20" t="s">
        <v>325</v>
      </c>
    </row>
    <row r="36" spans="2:8" x14ac:dyDescent="0.25">
      <c r="B36" s="20" t="s">
        <v>326</v>
      </c>
    </row>
    <row r="37" spans="2:8" x14ac:dyDescent="0.25">
      <c r="B37" t="s">
        <v>327</v>
      </c>
    </row>
    <row r="38" spans="2:8" x14ac:dyDescent="0.25">
      <c r="B38" t="s">
        <v>328</v>
      </c>
    </row>
    <row r="39" spans="2:8" x14ac:dyDescent="0.25">
      <c r="B39" t="s">
        <v>329</v>
      </c>
      <c r="D39" s="24">
        <v>7850922</v>
      </c>
      <c r="E39" s="24">
        <f t="shared" ref="E39" si="3">D80</f>
        <v>7865743</v>
      </c>
      <c r="F39" s="24">
        <f t="shared" ref="F39" si="4">E39-D39</f>
        <v>14821</v>
      </c>
      <c r="G39" t="s">
        <v>349</v>
      </c>
      <c r="H39" s="25"/>
    </row>
    <row r="40" spans="2:8" x14ac:dyDescent="0.25">
      <c r="B40" t="s">
        <v>330</v>
      </c>
    </row>
    <row r="44" spans="2:8" x14ac:dyDescent="0.25">
      <c r="B44" t="s">
        <v>294</v>
      </c>
    </row>
    <row r="46" spans="2:8" x14ac:dyDescent="0.25">
      <c r="B46" t="s">
        <v>295</v>
      </c>
    </row>
    <row r="47" spans="2:8" x14ac:dyDescent="0.25">
      <c r="B47" t="s">
        <v>331</v>
      </c>
      <c r="D47" s="22">
        <v>45964</v>
      </c>
      <c r="E47" s="23">
        <v>0.85347222222222219</v>
      </c>
    </row>
    <row r="48" spans="2:8" x14ac:dyDescent="0.25">
      <c r="B48" t="s">
        <v>297</v>
      </c>
    </row>
    <row r="49" spans="2:4" x14ac:dyDescent="0.25">
      <c r="B49" s="10" t="s">
        <v>332</v>
      </c>
      <c r="D49" s="21">
        <v>18020713</v>
      </c>
    </row>
    <row r="50" spans="2:4" x14ac:dyDescent="0.25">
      <c r="B50" s="10" t="s">
        <v>333</v>
      </c>
      <c r="D50" s="21">
        <v>13551206</v>
      </c>
    </row>
    <row r="51" spans="2:4" x14ac:dyDescent="0.25">
      <c r="B51" s="10" t="s">
        <v>334</v>
      </c>
      <c r="D51" s="21">
        <v>1991955</v>
      </c>
    </row>
    <row r="52" spans="2:4" x14ac:dyDescent="0.25">
      <c r="B52" s="10" t="s">
        <v>335</v>
      </c>
      <c r="D52" s="21">
        <v>4626998</v>
      </c>
    </row>
    <row r="53" spans="2:4" x14ac:dyDescent="0.25">
      <c r="B53" t="s">
        <v>302</v>
      </c>
    </row>
    <row r="54" spans="2:4" x14ac:dyDescent="0.25">
      <c r="B54" s="20" t="s">
        <v>336</v>
      </c>
    </row>
    <row r="55" spans="2:4" x14ac:dyDescent="0.25">
      <c r="B55" s="20" t="s">
        <v>304</v>
      </c>
    </row>
    <row r="56" spans="2:4" x14ac:dyDescent="0.25">
      <c r="B56" t="s">
        <v>305</v>
      </c>
    </row>
    <row r="57" spans="2:4" x14ac:dyDescent="0.25">
      <c r="B57" t="s">
        <v>306</v>
      </c>
    </row>
    <row r="58" spans="2:4" x14ac:dyDescent="0.25">
      <c r="B58" t="s">
        <v>307</v>
      </c>
    </row>
    <row r="59" spans="2:4" x14ac:dyDescent="0.25">
      <c r="B59" t="s">
        <v>308</v>
      </c>
    </row>
    <row r="60" spans="2:4" x14ac:dyDescent="0.25">
      <c r="B60" t="s">
        <v>309</v>
      </c>
    </row>
    <row r="61" spans="2:4" x14ac:dyDescent="0.25">
      <c r="B61" t="s">
        <v>310</v>
      </c>
    </row>
    <row r="62" spans="2:4" x14ac:dyDescent="0.25">
      <c r="B62" t="s">
        <v>311</v>
      </c>
    </row>
    <row r="63" spans="2:4" x14ac:dyDescent="0.25">
      <c r="B63" t="s">
        <v>312</v>
      </c>
    </row>
    <row r="64" spans="2:4" x14ac:dyDescent="0.25">
      <c r="B64" t="s">
        <v>313</v>
      </c>
    </row>
    <row r="65" spans="2:4" x14ac:dyDescent="0.25">
      <c r="B65" t="s">
        <v>314</v>
      </c>
    </row>
    <row r="66" spans="2:4" x14ac:dyDescent="0.25">
      <c r="B66" t="s">
        <v>337</v>
      </c>
    </row>
    <row r="67" spans="2:4" x14ac:dyDescent="0.25">
      <c r="B67" t="s">
        <v>338</v>
      </c>
    </row>
    <row r="68" spans="2:4" x14ac:dyDescent="0.25">
      <c r="B68" t="s">
        <v>339</v>
      </c>
    </row>
    <row r="69" spans="2:4" x14ac:dyDescent="0.25">
      <c r="B69" t="s">
        <v>318</v>
      </c>
    </row>
    <row r="70" spans="2:4" x14ac:dyDescent="0.25">
      <c r="B70" t="s">
        <v>319</v>
      </c>
    </row>
    <row r="71" spans="2:4" x14ac:dyDescent="0.25">
      <c r="B71" t="s">
        <v>320</v>
      </c>
    </row>
    <row r="72" spans="2:4" x14ac:dyDescent="0.25">
      <c r="B72" s="20" t="s">
        <v>340</v>
      </c>
    </row>
    <row r="73" spans="2:4" x14ac:dyDescent="0.25">
      <c r="B73" s="20" t="s">
        <v>341</v>
      </c>
    </row>
    <row r="74" spans="2:4" x14ac:dyDescent="0.25">
      <c r="B74" s="20" t="s">
        <v>342</v>
      </c>
    </row>
    <row r="75" spans="2:4" x14ac:dyDescent="0.25">
      <c r="B75" s="20" t="s">
        <v>324</v>
      </c>
    </row>
    <row r="76" spans="2:4" x14ac:dyDescent="0.25">
      <c r="B76" s="20" t="s">
        <v>343</v>
      </c>
    </row>
    <row r="77" spans="2:4" x14ac:dyDescent="0.25">
      <c r="B77" s="20" t="s">
        <v>326</v>
      </c>
    </row>
    <row r="78" spans="2:4" x14ac:dyDescent="0.25">
      <c r="B78" t="s">
        <v>327</v>
      </c>
    </row>
    <row r="79" spans="2:4" x14ac:dyDescent="0.25">
      <c r="B79" t="s">
        <v>328</v>
      </c>
    </row>
    <row r="80" spans="2:4" x14ac:dyDescent="0.25">
      <c r="B80" t="s">
        <v>344</v>
      </c>
      <c r="D80" s="24">
        <v>7865743</v>
      </c>
    </row>
    <row r="81" spans="2:2" x14ac:dyDescent="0.25">
      <c r="B81" t="s">
        <v>345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EACE-60BB-4BEC-A71B-198B0EC224A9}">
  <sheetPr codeName="Sheet16"/>
  <dimension ref="B4:O94"/>
  <sheetViews>
    <sheetView workbookViewId="0">
      <selection activeCell="D11" sqref="D11:D28"/>
    </sheetView>
  </sheetViews>
  <sheetFormatPr defaultRowHeight="15" x14ac:dyDescent="0.25"/>
  <cols>
    <col min="1" max="1" width="5.7109375" customWidth="1"/>
    <col min="2" max="2" width="15.42578125" customWidth="1"/>
    <col min="3" max="3" width="28.42578125" bestFit="1" customWidth="1"/>
    <col min="4" max="4" width="13.7109375" bestFit="1" customWidth="1"/>
    <col min="5" max="5" width="12.140625" customWidth="1"/>
    <col min="6" max="7" width="7.5703125" customWidth="1"/>
    <col min="8" max="8" width="10.42578125" customWidth="1"/>
    <col min="9" max="9" width="73.85546875" customWidth="1"/>
    <col min="14" max="14" width="17.85546875" customWidth="1"/>
    <col min="15" max="15" width="42.140625" bestFit="1" customWidth="1"/>
  </cols>
  <sheetData>
    <row r="4" spans="2:15" x14ac:dyDescent="0.25">
      <c r="B4" s="8"/>
      <c r="C4" s="8" t="s">
        <v>66</v>
      </c>
      <c r="D4" s="8" t="s">
        <v>67</v>
      </c>
      <c r="E4" s="8" t="s">
        <v>65</v>
      </c>
      <c r="F4" s="8"/>
      <c r="G4" s="8"/>
      <c r="H4" s="8"/>
      <c r="I4" s="8"/>
      <c r="M4" t="s">
        <v>9</v>
      </c>
      <c r="N4" t="s">
        <v>10</v>
      </c>
    </row>
    <row r="5" spans="2:15" x14ac:dyDescent="0.25">
      <c r="B5" t="s">
        <v>119</v>
      </c>
      <c r="C5" t="s">
        <v>127</v>
      </c>
      <c r="D5" s="7" t="s">
        <v>159</v>
      </c>
      <c r="F5" s="1" t="s">
        <v>134</v>
      </c>
      <c r="G5" s="1"/>
      <c r="H5" s="1" t="s">
        <v>133</v>
      </c>
      <c r="M5" t="s">
        <v>0</v>
      </c>
      <c r="N5" t="s">
        <v>12</v>
      </c>
      <c r="O5" t="s">
        <v>6</v>
      </c>
    </row>
    <row r="6" spans="2:15" x14ac:dyDescent="0.25">
      <c r="C6" t="s">
        <v>124</v>
      </c>
      <c r="D6" s="7" t="s">
        <v>164</v>
      </c>
      <c r="F6" s="1" t="s">
        <v>165</v>
      </c>
      <c r="M6" t="s">
        <v>8</v>
      </c>
      <c r="N6" t="s">
        <v>11</v>
      </c>
      <c r="O6" t="s">
        <v>7</v>
      </c>
    </row>
    <row r="7" spans="2:15" x14ac:dyDescent="0.25">
      <c r="C7" t="s">
        <v>122</v>
      </c>
      <c r="D7" s="7" t="s">
        <v>160</v>
      </c>
      <c r="F7" s="1" t="s">
        <v>165</v>
      </c>
      <c r="M7" t="s">
        <v>22</v>
      </c>
      <c r="N7" t="s">
        <v>13</v>
      </c>
      <c r="O7" t="s">
        <v>5</v>
      </c>
    </row>
    <row r="8" spans="2:15" x14ac:dyDescent="0.25">
      <c r="C8" t="s">
        <v>123</v>
      </c>
      <c r="D8" s="7" t="s">
        <v>161</v>
      </c>
      <c r="F8" s="1" t="s">
        <v>165</v>
      </c>
    </row>
    <row r="9" spans="2:15" x14ac:dyDescent="0.25">
      <c r="C9" t="s">
        <v>125</v>
      </c>
      <c r="D9" s="7" t="s">
        <v>162</v>
      </c>
      <c r="F9" s="1" t="s">
        <v>165</v>
      </c>
    </row>
    <row r="10" spans="2:15" x14ac:dyDescent="0.25">
      <c r="C10" t="s">
        <v>126</v>
      </c>
      <c r="D10" s="7" t="s">
        <v>163</v>
      </c>
      <c r="F10" s="1" t="s">
        <v>48</v>
      </c>
    </row>
    <row r="11" spans="2:15" x14ac:dyDescent="0.25">
      <c r="B11" t="s">
        <v>83</v>
      </c>
      <c r="C11" t="s">
        <v>3</v>
      </c>
      <c r="D11" s="6" t="s">
        <v>73</v>
      </c>
      <c r="F11" s="1" t="s">
        <v>134</v>
      </c>
      <c r="G11" s="1"/>
      <c r="H11" s="1" t="s">
        <v>133</v>
      </c>
    </row>
    <row r="12" spans="2:15" x14ac:dyDescent="0.25">
      <c r="C12" t="s">
        <v>23</v>
      </c>
      <c r="D12" s="6" t="s">
        <v>72</v>
      </c>
      <c r="F12" s="1" t="s">
        <v>1</v>
      </c>
      <c r="G12" s="1"/>
      <c r="H12" s="1" t="s">
        <v>16</v>
      </c>
      <c r="I12" t="s">
        <v>2</v>
      </c>
    </row>
    <row r="13" spans="2:15" x14ac:dyDescent="0.25">
      <c r="C13" t="s">
        <v>4</v>
      </c>
      <c r="D13" s="6" t="s">
        <v>71</v>
      </c>
      <c r="F13" s="1" t="s">
        <v>1</v>
      </c>
      <c r="G13" s="1"/>
      <c r="H13" s="1" t="s">
        <v>16</v>
      </c>
      <c r="I13" t="s">
        <v>2</v>
      </c>
    </row>
    <row r="14" spans="2:15" x14ac:dyDescent="0.25">
      <c r="C14" t="s">
        <v>28</v>
      </c>
      <c r="D14" s="6" t="s">
        <v>74</v>
      </c>
      <c r="F14" s="1" t="s">
        <v>1</v>
      </c>
      <c r="G14" s="1"/>
      <c r="H14" s="1" t="s">
        <v>16</v>
      </c>
      <c r="I14" t="s">
        <v>2</v>
      </c>
    </row>
    <row r="15" spans="2:15" x14ac:dyDescent="0.25">
      <c r="C15" t="s">
        <v>29</v>
      </c>
      <c r="D15" s="6" t="s">
        <v>75</v>
      </c>
      <c r="F15" s="1" t="s">
        <v>1</v>
      </c>
      <c r="G15" s="1"/>
      <c r="H15" s="1" t="s">
        <v>16</v>
      </c>
      <c r="I15" t="s">
        <v>2</v>
      </c>
    </row>
    <row r="16" spans="2:15" x14ac:dyDescent="0.25">
      <c r="C16" t="s">
        <v>30</v>
      </c>
      <c r="D16" s="6" t="s">
        <v>76</v>
      </c>
      <c r="F16" s="1" t="s">
        <v>1</v>
      </c>
      <c r="G16" s="1"/>
      <c r="H16" s="1" t="s">
        <v>16</v>
      </c>
      <c r="I16" t="s">
        <v>2</v>
      </c>
    </row>
    <row r="17" spans="2:9" x14ac:dyDescent="0.25">
      <c r="C17" t="s">
        <v>31</v>
      </c>
      <c r="D17" s="6" t="s">
        <v>77</v>
      </c>
      <c r="F17" s="1" t="s">
        <v>1</v>
      </c>
      <c r="G17" s="1"/>
      <c r="H17" s="1" t="s">
        <v>16</v>
      </c>
      <c r="I17" t="s">
        <v>2</v>
      </c>
    </row>
    <row r="18" spans="2:9" x14ac:dyDescent="0.25">
      <c r="C18" t="s">
        <v>32</v>
      </c>
      <c r="D18" s="6" t="s">
        <v>78</v>
      </c>
      <c r="F18" s="1" t="s">
        <v>1</v>
      </c>
      <c r="G18" s="1"/>
      <c r="H18" s="1" t="s">
        <v>16</v>
      </c>
      <c r="I18" t="s">
        <v>2</v>
      </c>
    </row>
    <row r="19" spans="2:9" x14ac:dyDescent="0.25">
      <c r="C19" t="s">
        <v>33</v>
      </c>
      <c r="D19" s="6" t="s">
        <v>79</v>
      </c>
      <c r="F19" s="1" t="s">
        <v>1</v>
      </c>
      <c r="G19" s="1"/>
      <c r="H19" s="1" t="s">
        <v>16</v>
      </c>
      <c r="I19" t="s">
        <v>2</v>
      </c>
    </row>
    <row r="20" spans="2:9" x14ac:dyDescent="0.25">
      <c r="C20" t="s">
        <v>24</v>
      </c>
      <c r="D20" s="6" t="s">
        <v>68</v>
      </c>
      <c r="F20" s="1" t="s">
        <v>19</v>
      </c>
      <c r="G20" s="1"/>
      <c r="H20" s="1" t="s">
        <v>21</v>
      </c>
      <c r="I20" t="s">
        <v>2</v>
      </c>
    </row>
    <row r="21" spans="2:9" x14ac:dyDescent="0.25">
      <c r="C21" t="s">
        <v>25</v>
      </c>
      <c r="D21" s="6" t="s">
        <v>69</v>
      </c>
      <c r="F21" s="1" t="s">
        <v>19</v>
      </c>
      <c r="G21" s="1"/>
      <c r="H21" s="1" t="s">
        <v>21</v>
      </c>
      <c r="I21" t="s">
        <v>2</v>
      </c>
    </row>
    <row r="22" spans="2:9" x14ac:dyDescent="0.25">
      <c r="C22" t="s">
        <v>26</v>
      </c>
      <c r="D22" s="6" t="s">
        <v>70</v>
      </c>
      <c r="F22" s="1" t="s">
        <v>19</v>
      </c>
      <c r="G22" s="1"/>
      <c r="H22" s="1" t="s">
        <v>21</v>
      </c>
      <c r="I22" t="s">
        <v>2</v>
      </c>
    </row>
    <row r="23" spans="2:9" x14ac:dyDescent="0.25">
      <c r="C23" t="s">
        <v>27</v>
      </c>
      <c r="D23" s="6" t="s">
        <v>70</v>
      </c>
      <c r="F23" s="1" t="s">
        <v>19</v>
      </c>
      <c r="G23" s="1"/>
      <c r="H23" s="1" t="s">
        <v>21</v>
      </c>
      <c r="I23" t="s">
        <v>2</v>
      </c>
    </row>
    <row r="24" spans="2:9" x14ac:dyDescent="0.25">
      <c r="C24" t="s">
        <v>37</v>
      </c>
      <c r="D24" s="6" t="s">
        <v>80</v>
      </c>
      <c r="F24" s="1" t="s">
        <v>14</v>
      </c>
      <c r="G24" s="1"/>
      <c r="H24" s="1" t="s">
        <v>17</v>
      </c>
      <c r="I24" t="s">
        <v>2</v>
      </c>
    </row>
    <row r="25" spans="2:9" x14ac:dyDescent="0.25">
      <c r="C25" t="s">
        <v>38</v>
      </c>
      <c r="D25" s="6" t="s">
        <v>81</v>
      </c>
      <c r="F25" s="1" t="s">
        <v>14</v>
      </c>
      <c r="G25" s="1"/>
      <c r="H25" s="1" t="s">
        <v>17</v>
      </c>
      <c r="I25" t="s">
        <v>2</v>
      </c>
    </row>
    <row r="26" spans="2:9" x14ac:dyDescent="0.25">
      <c r="C26" t="s">
        <v>39</v>
      </c>
      <c r="D26" s="6" t="s">
        <v>82</v>
      </c>
      <c r="F26" s="1" t="s">
        <v>14</v>
      </c>
      <c r="G26" s="1"/>
      <c r="H26" s="1" t="s">
        <v>17</v>
      </c>
      <c r="I26" t="s">
        <v>2</v>
      </c>
    </row>
    <row r="27" spans="2:9" x14ac:dyDescent="0.25">
      <c r="C27" t="s">
        <v>129</v>
      </c>
      <c r="D27" s="6" t="s">
        <v>128</v>
      </c>
      <c r="F27" s="1" t="s">
        <v>134</v>
      </c>
      <c r="G27" s="1"/>
      <c r="H27" s="1" t="s">
        <v>133</v>
      </c>
      <c r="I27" t="s">
        <v>2</v>
      </c>
    </row>
    <row r="28" spans="2:9" x14ac:dyDescent="0.25">
      <c r="C28" t="s">
        <v>132</v>
      </c>
      <c r="D28" s="6" t="s">
        <v>128</v>
      </c>
      <c r="F28" s="1" t="s">
        <v>130</v>
      </c>
      <c r="G28" s="1"/>
      <c r="H28" s="1" t="s">
        <v>131</v>
      </c>
      <c r="I28" t="s">
        <v>2</v>
      </c>
    </row>
    <row r="29" spans="2:9" x14ac:dyDescent="0.25">
      <c r="B29" t="s">
        <v>120</v>
      </c>
      <c r="C29" t="s">
        <v>34</v>
      </c>
      <c r="D29" s="3">
        <v>32200</v>
      </c>
      <c r="F29" s="1" t="s">
        <v>14</v>
      </c>
      <c r="G29" s="1"/>
      <c r="H29" s="1" t="s">
        <v>17</v>
      </c>
      <c r="I29" t="s">
        <v>2</v>
      </c>
    </row>
    <row r="30" spans="2:9" x14ac:dyDescent="0.25">
      <c r="C30" t="s">
        <v>36</v>
      </c>
      <c r="D30" s="3">
        <v>32201</v>
      </c>
      <c r="F30" s="1" t="s">
        <v>15</v>
      </c>
      <c r="G30" s="1"/>
      <c r="H30" s="1" t="s">
        <v>41</v>
      </c>
      <c r="I30" t="s">
        <v>42</v>
      </c>
    </row>
    <row r="31" spans="2:9" x14ac:dyDescent="0.25">
      <c r="C31" t="s">
        <v>35</v>
      </c>
      <c r="D31" s="3">
        <v>32202</v>
      </c>
      <c r="F31" s="1" t="s">
        <v>1</v>
      </c>
      <c r="G31" s="1"/>
      <c r="H31" s="1" t="s">
        <v>16</v>
      </c>
      <c r="I31" t="s">
        <v>42</v>
      </c>
    </row>
    <row r="32" spans="2:9" x14ac:dyDescent="0.25">
      <c r="C32" t="s">
        <v>40</v>
      </c>
      <c r="D32" s="3">
        <v>32204</v>
      </c>
      <c r="F32" s="1" t="s">
        <v>18</v>
      </c>
      <c r="G32" s="1"/>
      <c r="H32" s="1" t="s">
        <v>20</v>
      </c>
      <c r="I32" t="s">
        <v>2</v>
      </c>
    </row>
    <row r="33" spans="3:9" x14ac:dyDescent="0.25">
      <c r="C33" t="s">
        <v>43</v>
      </c>
      <c r="D33" s="4">
        <v>32100</v>
      </c>
      <c r="F33" s="1" t="s">
        <v>14</v>
      </c>
      <c r="G33" s="1"/>
      <c r="H33" s="1" t="s">
        <v>17</v>
      </c>
      <c r="I33" t="s">
        <v>2</v>
      </c>
    </row>
    <row r="34" spans="3:9" x14ac:dyDescent="0.25">
      <c r="C34" t="s">
        <v>44</v>
      </c>
      <c r="D34" s="4">
        <v>32101</v>
      </c>
      <c r="F34" s="1" t="s">
        <v>15</v>
      </c>
      <c r="G34" s="1"/>
      <c r="H34" s="1" t="s">
        <v>41</v>
      </c>
      <c r="I34" t="s">
        <v>42</v>
      </c>
    </row>
    <row r="35" spans="3:9" x14ac:dyDescent="0.25">
      <c r="C35" t="s">
        <v>45</v>
      </c>
      <c r="D35" s="4">
        <v>32103</v>
      </c>
      <c r="F35" s="1" t="s">
        <v>1</v>
      </c>
      <c r="G35" s="1"/>
      <c r="H35" s="1" t="s">
        <v>16</v>
      </c>
      <c r="I35" t="s">
        <v>42</v>
      </c>
    </row>
    <row r="36" spans="3:9" x14ac:dyDescent="0.25">
      <c r="C36" t="s">
        <v>46</v>
      </c>
      <c r="D36" s="4">
        <v>32104</v>
      </c>
      <c r="F36" s="1" t="s">
        <v>48</v>
      </c>
      <c r="G36" s="1"/>
      <c r="H36" s="1" t="s">
        <v>47</v>
      </c>
      <c r="I36" t="s">
        <v>2</v>
      </c>
    </row>
    <row r="37" spans="3:9" x14ac:dyDescent="0.25">
      <c r="C37" t="s">
        <v>49</v>
      </c>
      <c r="D37" s="3">
        <v>33000</v>
      </c>
      <c r="F37" s="1" t="s">
        <v>19</v>
      </c>
      <c r="G37" s="1">
        <v>0.01</v>
      </c>
      <c r="H37" s="1" t="s">
        <v>21</v>
      </c>
      <c r="I37" t="s">
        <v>2</v>
      </c>
    </row>
    <row r="38" spans="3:9" x14ac:dyDescent="0.25">
      <c r="C38" t="s">
        <v>50</v>
      </c>
      <c r="D38" s="3">
        <v>33002</v>
      </c>
      <c r="F38" s="1" t="s">
        <v>19</v>
      </c>
      <c r="G38" s="1">
        <v>0.01</v>
      </c>
      <c r="H38" s="1" t="s">
        <v>21</v>
      </c>
      <c r="I38" t="s">
        <v>2</v>
      </c>
    </row>
    <row r="39" spans="3:9" x14ac:dyDescent="0.25">
      <c r="C39" t="s">
        <v>51</v>
      </c>
      <c r="D39" s="3">
        <v>33004</v>
      </c>
      <c r="F39" s="1" t="s">
        <v>19</v>
      </c>
      <c r="G39" s="1">
        <v>0.01</v>
      </c>
      <c r="H39" s="1" t="s">
        <v>21</v>
      </c>
      <c r="I39" t="s">
        <v>2</v>
      </c>
    </row>
    <row r="40" spans="3:9" x14ac:dyDescent="0.25">
      <c r="C40" t="s">
        <v>52</v>
      </c>
      <c r="D40" s="3">
        <v>33006</v>
      </c>
      <c r="F40" s="1" t="s">
        <v>19</v>
      </c>
      <c r="G40" s="1">
        <v>0.01</v>
      </c>
      <c r="H40" s="1" t="s">
        <v>21</v>
      </c>
      <c r="I40" t="s">
        <v>2</v>
      </c>
    </row>
    <row r="41" spans="3:9" x14ac:dyDescent="0.25">
      <c r="C41" t="s">
        <v>53</v>
      </c>
      <c r="D41" s="3">
        <v>33008</v>
      </c>
      <c r="F41" s="1" t="s">
        <v>19</v>
      </c>
      <c r="G41" s="1">
        <v>0.01</v>
      </c>
      <c r="H41" s="1" t="s">
        <v>21</v>
      </c>
      <c r="I41" t="s">
        <v>2</v>
      </c>
    </row>
    <row r="42" spans="3:9" x14ac:dyDescent="0.25">
      <c r="C42" t="s">
        <v>54</v>
      </c>
      <c r="D42" s="3">
        <v>33010</v>
      </c>
      <c r="F42" s="1" t="s">
        <v>19</v>
      </c>
      <c r="G42" s="1">
        <v>0.01</v>
      </c>
      <c r="H42" s="1" t="s">
        <v>21</v>
      </c>
      <c r="I42" t="s">
        <v>2</v>
      </c>
    </row>
    <row r="43" spans="3:9" x14ac:dyDescent="0.25">
      <c r="C43" t="s">
        <v>55</v>
      </c>
      <c r="D43" s="4">
        <v>35000</v>
      </c>
      <c r="F43" s="1" t="s">
        <v>56</v>
      </c>
      <c r="G43" s="1">
        <v>0.1</v>
      </c>
      <c r="H43" s="1" t="s">
        <v>57</v>
      </c>
      <c r="I43" t="s">
        <v>42</v>
      </c>
    </row>
    <row r="44" spans="3:9" x14ac:dyDescent="0.25">
      <c r="C44" t="s">
        <v>58</v>
      </c>
      <c r="D44" s="4">
        <v>35001</v>
      </c>
      <c r="F44" s="1" t="s">
        <v>56</v>
      </c>
      <c r="G44" s="1">
        <v>0.1</v>
      </c>
      <c r="H44" s="1" t="s">
        <v>57</v>
      </c>
      <c r="I44" t="s">
        <v>42</v>
      </c>
    </row>
    <row r="45" spans="3:9" x14ac:dyDescent="0.25">
      <c r="C45" t="s">
        <v>59</v>
      </c>
      <c r="D45" s="4">
        <v>35002</v>
      </c>
      <c r="F45" s="1" t="s">
        <v>56</v>
      </c>
      <c r="G45" s="1">
        <v>0.1</v>
      </c>
      <c r="H45" s="1" t="s">
        <v>57</v>
      </c>
      <c r="I45" t="s">
        <v>42</v>
      </c>
    </row>
    <row r="46" spans="3:9" x14ac:dyDescent="0.25">
      <c r="C46" t="s">
        <v>60</v>
      </c>
      <c r="D46" s="3">
        <v>35100</v>
      </c>
      <c r="F46" s="1" t="s">
        <v>167</v>
      </c>
      <c r="G46" s="1"/>
      <c r="H46" s="1" t="s">
        <v>61</v>
      </c>
      <c r="I46" s="2" t="s">
        <v>62</v>
      </c>
    </row>
    <row r="47" spans="3:9" x14ac:dyDescent="0.25">
      <c r="C47" t="s">
        <v>63</v>
      </c>
      <c r="D47" s="4">
        <v>36000</v>
      </c>
      <c r="F47" s="1" t="s">
        <v>167</v>
      </c>
    </row>
    <row r="48" spans="3:9" x14ac:dyDescent="0.25">
      <c r="C48" t="s">
        <v>64</v>
      </c>
      <c r="D48" s="4">
        <v>36001</v>
      </c>
      <c r="F48" s="1" t="s">
        <v>167</v>
      </c>
    </row>
    <row r="49" spans="2:6" x14ac:dyDescent="0.25">
      <c r="B49" t="s">
        <v>93</v>
      </c>
      <c r="C49" t="s">
        <v>92</v>
      </c>
      <c r="D49" s="3">
        <v>42000</v>
      </c>
      <c r="F49" s="1" t="s">
        <v>166</v>
      </c>
    </row>
    <row r="50" spans="2:6" x14ac:dyDescent="0.25">
      <c r="C50" t="s">
        <v>84</v>
      </c>
      <c r="D50" s="4">
        <v>42010</v>
      </c>
      <c r="F50" s="1" t="s">
        <v>167</v>
      </c>
    </row>
    <row r="51" spans="2:6" x14ac:dyDescent="0.25">
      <c r="C51" t="s">
        <v>85</v>
      </c>
      <c r="D51" s="3">
        <v>42020</v>
      </c>
      <c r="F51" s="1" t="s">
        <v>19</v>
      </c>
    </row>
    <row r="52" spans="2:6" x14ac:dyDescent="0.25">
      <c r="C52" t="s">
        <v>86</v>
      </c>
      <c r="D52" s="3">
        <v>42021</v>
      </c>
      <c r="F52" s="1" t="s">
        <v>19</v>
      </c>
    </row>
    <row r="53" spans="2:6" x14ac:dyDescent="0.25">
      <c r="C53" t="s">
        <v>87</v>
      </c>
      <c r="D53" s="4">
        <v>43000</v>
      </c>
      <c r="F53" s="1" t="s">
        <v>167</v>
      </c>
    </row>
    <row r="54" spans="2:6" x14ac:dyDescent="0.25">
      <c r="C54" t="s">
        <v>88</v>
      </c>
      <c r="D54" s="3">
        <v>44000</v>
      </c>
      <c r="F54" s="1" t="s">
        <v>48</v>
      </c>
    </row>
    <row r="55" spans="2:6" x14ac:dyDescent="0.25">
      <c r="C55" t="s">
        <v>89</v>
      </c>
      <c r="D55" s="3">
        <v>44001</v>
      </c>
      <c r="F55" s="1" t="s">
        <v>48</v>
      </c>
    </row>
    <row r="56" spans="2:6" x14ac:dyDescent="0.25">
      <c r="C56" t="s">
        <v>90</v>
      </c>
      <c r="D56" s="3">
        <v>44002</v>
      </c>
      <c r="F56" s="1" t="s">
        <v>1</v>
      </c>
    </row>
    <row r="57" spans="2:6" x14ac:dyDescent="0.25">
      <c r="C57" t="s">
        <v>91</v>
      </c>
      <c r="D57" s="3">
        <v>44003</v>
      </c>
      <c r="F57" s="1" t="s">
        <v>1</v>
      </c>
    </row>
    <row r="58" spans="2:6" x14ac:dyDescent="0.25">
      <c r="C58" t="s">
        <v>168</v>
      </c>
      <c r="D58" s="3" t="s">
        <v>175</v>
      </c>
      <c r="F58" s="1" t="s">
        <v>1</v>
      </c>
    </row>
    <row r="59" spans="2:6" x14ac:dyDescent="0.25">
      <c r="C59" t="s">
        <v>169</v>
      </c>
      <c r="D59" s="3" t="s">
        <v>175</v>
      </c>
      <c r="F59" s="1" t="s">
        <v>1</v>
      </c>
    </row>
    <row r="60" spans="2:6" x14ac:dyDescent="0.25">
      <c r="C60" t="s">
        <v>173</v>
      </c>
      <c r="D60" s="3" t="s">
        <v>175</v>
      </c>
      <c r="F60" s="1" t="s">
        <v>19</v>
      </c>
    </row>
    <row r="61" spans="2:6" x14ac:dyDescent="0.25">
      <c r="C61" t="s">
        <v>174</v>
      </c>
      <c r="D61" s="3" t="s">
        <v>175</v>
      </c>
      <c r="F61" s="1" t="s">
        <v>19</v>
      </c>
    </row>
    <row r="62" spans="2:6" x14ac:dyDescent="0.25">
      <c r="C62" t="s">
        <v>170</v>
      </c>
      <c r="D62" s="3" t="s">
        <v>175</v>
      </c>
      <c r="F62" s="1" t="s">
        <v>14</v>
      </c>
    </row>
    <row r="63" spans="2:6" x14ac:dyDescent="0.25">
      <c r="C63" t="s">
        <v>171</v>
      </c>
      <c r="D63" s="3" t="s">
        <v>175</v>
      </c>
      <c r="F63" s="1" t="s">
        <v>15</v>
      </c>
    </row>
    <row r="64" spans="2:6" x14ac:dyDescent="0.25">
      <c r="C64" t="s">
        <v>172</v>
      </c>
      <c r="D64" s="3" t="s">
        <v>175</v>
      </c>
      <c r="F64" s="1" t="s">
        <v>18</v>
      </c>
    </row>
    <row r="65" spans="2:6" x14ac:dyDescent="0.25">
      <c r="C65" t="s">
        <v>176</v>
      </c>
      <c r="D65" s="3" t="s">
        <v>175</v>
      </c>
      <c r="F65" s="1" t="s">
        <v>167</v>
      </c>
    </row>
    <row r="66" spans="2:6" x14ac:dyDescent="0.25">
      <c r="B66" t="s">
        <v>94</v>
      </c>
      <c r="C66" t="s">
        <v>95</v>
      </c>
      <c r="D66" s="5" t="s">
        <v>135</v>
      </c>
    </row>
    <row r="67" spans="2:6" x14ac:dyDescent="0.25">
      <c r="C67" t="s">
        <v>96</v>
      </c>
      <c r="D67" s="5" t="s">
        <v>136</v>
      </c>
    </row>
    <row r="68" spans="2:6" x14ac:dyDescent="0.25">
      <c r="C68" t="s">
        <v>97</v>
      </c>
      <c r="D68" s="5" t="s">
        <v>137</v>
      </c>
    </row>
    <row r="69" spans="2:6" x14ac:dyDescent="0.25">
      <c r="C69" t="s">
        <v>98</v>
      </c>
      <c r="D69" s="5" t="s">
        <v>138</v>
      </c>
    </row>
    <row r="70" spans="2:6" x14ac:dyDescent="0.25">
      <c r="C70" t="s">
        <v>99</v>
      </c>
      <c r="D70" s="5" t="s">
        <v>139</v>
      </c>
    </row>
    <row r="71" spans="2:6" x14ac:dyDescent="0.25">
      <c r="C71" t="s">
        <v>100</v>
      </c>
      <c r="D71" s="5" t="s">
        <v>140</v>
      </c>
    </row>
    <row r="72" spans="2:6" x14ac:dyDescent="0.25">
      <c r="C72" t="s">
        <v>101</v>
      </c>
      <c r="D72" s="5" t="s">
        <v>141</v>
      </c>
    </row>
    <row r="73" spans="2:6" x14ac:dyDescent="0.25">
      <c r="C73" t="s">
        <v>102</v>
      </c>
      <c r="D73" s="5" t="s">
        <v>142</v>
      </c>
    </row>
    <row r="74" spans="2:6" x14ac:dyDescent="0.25">
      <c r="C74" t="s">
        <v>103</v>
      </c>
      <c r="D74" s="5" t="s">
        <v>143</v>
      </c>
    </row>
    <row r="75" spans="2:6" x14ac:dyDescent="0.25">
      <c r="C75" t="s">
        <v>104</v>
      </c>
      <c r="D75" s="5" t="s">
        <v>144</v>
      </c>
    </row>
    <row r="76" spans="2:6" x14ac:dyDescent="0.25">
      <c r="C76" t="s">
        <v>105</v>
      </c>
      <c r="D76" s="5" t="s">
        <v>145</v>
      </c>
    </row>
    <row r="77" spans="2:6" x14ac:dyDescent="0.25">
      <c r="C77" t="s">
        <v>106</v>
      </c>
      <c r="D77" s="5" t="s">
        <v>146</v>
      </c>
    </row>
    <row r="78" spans="2:6" x14ac:dyDescent="0.25">
      <c r="C78" t="s">
        <v>107</v>
      </c>
      <c r="D78" s="5" t="s">
        <v>147</v>
      </c>
    </row>
    <row r="79" spans="2:6" x14ac:dyDescent="0.25">
      <c r="C79" t="s">
        <v>108</v>
      </c>
      <c r="D79" s="5" t="s">
        <v>148</v>
      </c>
    </row>
    <row r="80" spans="2:6" x14ac:dyDescent="0.25">
      <c r="C80" t="s">
        <v>109</v>
      </c>
      <c r="D80" s="5" t="s">
        <v>149</v>
      </c>
    </row>
    <row r="81" spans="3:4" x14ac:dyDescent="0.25">
      <c r="C81" t="s">
        <v>110</v>
      </c>
      <c r="D81" s="5" t="s">
        <v>150</v>
      </c>
    </row>
    <row r="82" spans="3:4" x14ac:dyDescent="0.25">
      <c r="C82" t="s">
        <v>111</v>
      </c>
      <c r="D82" s="5" t="s">
        <v>151</v>
      </c>
    </row>
    <row r="83" spans="3:4" x14ac:dyDescent="0.25">
      <c r="C83" t="s">
        <v>112</v>
      </c>
      <c r="D83" s="5" t="s">
        <v>152</v>
      </c>
    </row>
    <row r="84" spans="3:4" x14ac:dyDescent="0.25">
      <c r="C84" t="s">
        <v>113</v>
      </c>
      <c r="D84" s="5" t="s">
        <v>153</v>
      </c>
    </row>
    <row r="85" spans="3:4" x14ac:dyDescent="0.25">
      <c r="C85" t="s">
        <v>114</v>
      </c>
      <c r="D85" s="5" t="s">
        <v>154</v>
      </c>
    </row>
    <row r="86" spans="3:4" x14ac:dyDescent="0.25">
      <c r="C86" t="s">
        <v>115</v>
      </c>
      <c r="D86" s="5" t="s">
        <v>155</v>
      </c>
    </row>
    <row r="87" spans="3:4" x14ac:dyDescent="0.25">
      <c r="C87" t="s">
        <v>116</v>
      </c>
      <c r="D87" s="5" t="s">
        <v>156</v>
      </c>
    </row>
    <row r="88" spans="3:4" x14ac:dyDescent="0.25">
      <c r="C88" t="s">
        <v>117</v>
      </c>
      <c r="D88" s="5" t="s">
        <v>157</v>
      </c>
    </row>
    <row r="89" spans="3:4" x14ac:dyDescent="0.25">
      <c r="C89" t="s">
        <v>118</v>
      </c>
      <c r="D89" s="5" t="s">
        <v>158</v>
      </c>
    </row>
    <row r="94" spans="3:4" x14ac:dyDescent="0.25">
      <c r="C94">
        <f>24*4</f>
        <v>96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DD33-92C0-4300-9EF1-653ACFAEC92B}">
  <sheetPr codeName="Sheet17"/>
  <dimension ref="A3:I73"/>
  <sheetViews>
    <sheetView workbookViewId="0">
      <selection activeCell="A28" sqref="A28"/>
    </sheetView>
  </sheetViews>
  <sheetFormatPr defaultRowHeight="15" x14ac:dyDescent="0.25"/>
  <cols>
    <col min="1" max="1" width="31.85546875" bestFit="1" customWidth="1"/>
    <col min="2" max="3" width="11" customWidth="1"/>
    <col min="4" max="8" width="11" style="1" customWidth="1"/>
    <col min="9" max="9" width="61.140625" customWidth="1"/>
  </cols>
  <sheetData>
    <row r="3" spans="1:9" x14ac:dyDescent="0.25">
      <c r="A3" t="s">
        <v>860</v>
      </c>
    </row>
    <row r="4" spans="1:9" x14ac:dyDescent="0.25">
      <c r="A4" s="34" t="s">
        <v>811</v>
      </c>
      <c r="B4" s="35" t="s">
        <v>121</v>
      </c>
      <c r="C4" s="35">
        <v>31000</v>
      </c>
      <c r="D4" s="35" t="s">
        <v>194</v>
      </c>
      <c r="E4" s="35">
        <v>20</v>
      </c>
      <c r="F4" s="35" t="s">
        <v>851</v>
      </c>
      <c r="G4" s="35">
        <v>20</v>
      </c>
      <c r="H4" s="35" t="s">
        <v>851</v>
      </c>
      <c r="I4" s="36" t="s">
        <v>858</v>
      </c>
    </row>
    <row r="5" spans="1:9" x14ac:dyDescent="0.25">
      <c r="A5" s="37" t="s">
        <v>812</v>
      </c>
      <c r="B5" s="38" t="s">
        <v>121</v>
      </c>
      <c r="C5" s="38">
        <v>31100</v>
      </c>
      <c r="D5" s="38" t="s">
        <v>194</v>
      </c>
      <c r="E5" s="38">
        <v>1</v>
      </c>
      <c r="F5" s="38" t="s">
        <v>855</v>
      </c>
      <c r="G5" s="38">
        <v>2</v>
      </c>
      <c r="H5" s="38" t="s">
        <v>851</v>
      </c>
      <c r="I5" s="39" t="s">
        <v>859</v>
      </c>
    </row>
    <row r="6" spans="1:9" x14ac:dyDescent="0.25">
      <c r="A6" s="34" t="s">
        <v>813</v>
      </c>
      <c r="B6" s="35" t="s">
        <v>121</v>
      </c>
      <c r="C6" s="35">
        <v>31200</v>
      </c>
      <c r="D6" s="35" t="s">
        <v>194</v>
      </c>
      <c r="E6" s="35">
        <v>20</v>
      </c>
      <c r="F6" s="35" t="s">
        <v>851</v>
      </c>
      <c r="G6" s="35">
        <v>20</v>
      </c>
      <c r="H6" s="35" t="s">
        <v>244</v>
      </c>
      <c r="I6" s="36" t="s">
        <v>858</v>
      </c>
    </row>
    <row r="7" spans="1:9" x14ac:dyDescent="0.25">
      <c r="A7" s="37" t="s">
        <v>814</v>
      </c>
      <c r="B7" s="38" t="s">
        <v>121</v>
      </c>
      <c r="C7" s="38">
        <v>32100</v>
      </c>
      <c r="D7" s="38" t="s">
        <v>194</v>
      </c>
      <c r="E7" s="38">
        <v>6</v>
      </c>
      <c r="F7" s="38" t="s">
        <v>855</v>
      </c>
      <c r="G7" s="38">
        <v>12</v>
      </c>
      <c r="H7" s="38" t="s">
        <v>851</v>
      </c>
      <c r="I7" s="39"/>
    </row>
    <row r="8" spans="1:9" x14ac:dyDescent="0.25">
      <c r="A8" s="34" t="s">
        <v>815</v>
      </c>
      <c r="B8" s="35" t="s">
        <v>121</v>
      </c>
      <c r="C8" s="35">
        <v>32200</v>
      </c>
      <c r="D8" s="35" t="s">
        <v>194</v>
      </c>
      <c r="E8" s="35">
        <v>5</v>
      </c>
      <c r="F8" s="35" t="s">
        <v>855</v>
      </c>
      <c r="G8" s="35">
        <v>10</v>
      </c>
      <c r="H8" s="35" t="s">
        <v>851</v>
      </c>
      <c r="I8" s="36"/>
    </row>
    <row r="9" spans="1:9" x14ac:dyDescent="0.25">
      <c r="A9" s="37" t="s">
        <v>816</v>
      </c>
      <c r="B9" s="38" t="s">
        <v>121</v>
      </c>
      <c r="C9" s="38">
        <v>32300</v>
      </c>
      <c r="D9" s="38" t="s">
        <v>194</v>
      </c>
      <c r="E9" s="38">
        <v>4</v>
      </c>
      <c r="F9" s="38" t="s">
        <v>855</v>
      </c>
      <c r="G9" s="38">
        <v>8</v>
      </c>
      <c r="H9" s="38" t="s">
        <v>851</v>
      </c>
      <c r="I9" s="39"/>
    </row>
    <row r="10" spans="1:9" x14ac:dyDescent="0.25">
      <c r="A10" s="34" t="s">
        <v>853</v>
      </c>
      <c r="B10" s="35" t="s">
        <v>121</v>
      </c>
      <c r="C10" s="35">
        <v>33000</v>
      </c>
      <c r="D10" s="35" t="s">
        <v>194</v>
      </c>
      <c r="E10" s="35">
        <v>12</v>
      </c>
      <c r="F10" s="35" t="s">
        <v>855</v>
      </c>
      <c r="G10" s="35">
        <v>24</v>
      </c>
      <c r="H10" s="35" t="s">
        <v>851</v>
      </c>
      <c r="I10" s="36"/>
    </row>
    <row r="11" spans="1:9" x14ac:dyDescent="0.25">
      <c r="A11" s="37" t="s">
        <v>817</v>
      </c>
      <c r="B11" s="38" t="s">
        <v>121</v>
      </c>
      <c r="C11" s="38">
        <v>35000</v>
      </c>
      <c r="D11" s="38" t="s">
        <v>194</v>
      </c>
      <c r="E11" s="38">
        <v>3</v>
      </c>
      <c r="F11" s="38" t="s">
        <v>855</v>
      </c>
      <c r="G11" s="38">
        <v>6</v>
      </c>
      <c r="H11" s="38" t="s">
        <v>851</v>
      </c>
      <c r="I11" s="39"/>
    </row>
    <row r="12" spans="1:9" x14ac:dyDescent="0.25">
      <c r="A12" s="34" t="s">
        <v>818</v>
      </c>
      <c r="B12" s="35" t="s">
        <v>121</v>
      </c>
      <c r="C12" s="35">
        <v>35010</v>
      </c>
      <c r="D12" s="35" t="s">
        <v>194</v>
      </c>
      <c r="E12" s="35">
        <v>2</v>
      </c>
      <c r="F12" s="35" t="s">
        <v>855</v>
      </c>
      <c r="G12" s="35">
        <v>4</v>
      </c>
      <c r="H12" s="35" t="s">
        <v>851</v>
      </c>
      <c r="I12" s="36"/>
    </row>
    <row r="13" spans="1:9" x14ac:dyDescent="0.25">
      <c r="A13" s="37" t="s">
        <v>819</v>
      </c>
      <c r="B13" s="38" t="s">
        <v>121</v>
      </c>
      <c r="C13" s="38">
        <v>35100</v>
      </c>
      <c r="D13" s="38" t="s">
        <v>194</v>
      </c>
      <c r="E13" s="38">
        <v>1</v>
      </c>
      <c r="F13" s="38" t="s">
        <v>855</v>
      </c>
      <c r="G13" s="38">
        <v>2</v>
      </c>
      <c r="H13" s="38" t="s">
        <v>851</v>
      </c>
      <c r="I13" s="39" t="s">
        <v>240</v>
      </c>
    </row>
    <row r="14" spans="1:9" x14ac:dyDescent="0.25">
      <c r="A14" s="34" t="s">
        <v>820</v>
      </c>
      <c r="B14" s="35" t="s">
        <v>121</v>
      </c>
      <c r="C14" s="35">
        <v>35110</v>
      </c>
      <c r="D14" s="35" t="s">
        <v>194</v>
      </c>
      <c r="E14" s="35">
        <v>3</v>
      </c>
      <c r="F14" s="35" t="s">
        <v>855</v>
      </c>
      <c r="G14" s="35">
        <v>6</v>
      </c>
      <c r="H14" s="35" t="s">
        <v>851</v>
      </c>
      <c r="I14" s="36"/>
    </row>
    <row r="15" spans="1:9" x14ac:dyDescent="0.25">
      <c r="A15" s="37" t="s">
        <v>821</v>
      </c>
      <c r="B15" s="38" t="s">
        <v>121</v>
      </c>
      <c r="C15" s="38">
        <v>36000</v>
      </c>
      <c r="D15" s="38" t="s">
        <v>194</v>
      </c>
      <c r="E15" s="38">
        <v>1</v>
      </c>
      <c r="F15" s="38" t="s">
        <v>855</v>
      </c>
      <c r="G15" s="38">
        <v>2</v>
      </c>
      <c r="H15" s="38" t="s">
        <v>851</v>
      </c>
      <c r="I15" s="39"/>
    </row>
    <row r="16" spans="1:9" x14ac:dyDescent="0.25">
      <c r="A16" s="34" t="s">
        <v>822</v>
      </c>
      <c r="B16" s="35" t="s">
        <v>121</v>
      </c>
      <c r="C16" s="35">
        <v>36100</v>
      </c>
      <c r="D16" s="35" t="s">
        <v>194</v>
      </c>
      <c r="E16" s="35">
        <v>2</v>
      </c>
      <c r="F16" s="35" t="s">
        <v>855</v>
      </c>
      <c r="G16" s="35">
        <v>4</v>
      </c>
      <c r="H16" s="35" t="s">
        <v>851</v>
      </c>
      <c r="I16" s="36"/>
    </row>
    <row r="17" spans="1:9" x14ac:dyDescent="0.25">
      <c r="A17" s="37" t="s">
        <v>823</v>
      </c>
      <c r="B17" s="38" t="s">
        <v>121</v>
      </c>
      <c r="C17" s="38">
        <v>41000</v>
      </c>
      <c r="D17" s="38" t="s">
        <v>194</v>
      </c>
      <c r="E17" s="38">
        <v>1</v>
      </c>
      <c r="F17" s="38" t="s">
        <v>855</v>
      </c>
      <c r="G17" s="38">
        <v>2</v>
      </c>
      <c r="H17" s="38" t="s">
        <v>851</v>
      </c>
      <c r="I17" s="39" t="s">
        <v>268</v>
      </c>
    </row>
    <row r="18" spans="1:9" x14ac:dyDescent="0.25">
      <c r="A18" s="34" t="s">
        <v>824</v>
      </c>
      <c r="B18" s="35" t="s">
        <v>121</v>
      </c>
      <c r="C18" s="35">
        <v>41100</v>
      </c>
      <c r="D18" s="35" t="s">
        <v>194</v>
      </c>
      <c r="E18" s="35">
        <v>1</v>
      </c>
      <c r="F18" s="35" t="s">
        <v>855</v>
      </c>
      <c r="G18" s="35">
        <v>2</v>
      </c>
      <c r="H18" s="35" t="s">
        <v>851</v>
      </c>
      <c r="I18" s="36" t="s">
        <v>787</v>
      </c>
    </row>
    <row r="19" spans="1:9" x14ac:dyDescent="0.25">
      <c r="A19" s="37" t="s">
        <v>816</v>
      </c>
      <c r="B19" s="38" t="s">
        <v>121</v>
      </c>
      <c r="C19" s="38">
        <v>41200</v>
      </c>
      <c r="D19" s="38" t="s">
        <v>194</v>
      </c>
      <c r="E19" s="38">
        <v>1</v>
      </c>
      <c r="F19" s="38" t="s">
        <v>855</v>
      </c>
      <c r="G19" s="38">
        <v>2</v>
      </c>
      <c r="H19" s="38" t="s">
        <v>851</v>
      </c>
      <c r="I19" s="39" t="s">
        <v>267</v>
      </c>
    </row>
    <row r="20" spans="1:9" x14ac:dyDescent="0.25">
      <c r="A20" s="34" t="s">
        <v>825</v>
      </c>
      <c r="B20" s="35" t="s">
        <v>121</v>
      </c>
      <c r="C20" s="35">
        <v>42000</v>
      </c>
      <c r="D20" s="35" t="s">
        <v>194</v>
      </c>
      <c r="E20" s="35">
        <v>1</v>
      </c>
      <c r="F20" s="35" t="s">
        <v>855</v>
      </c>
      <c r="G20" s="35">
        <v>2</v>
      </c>
      <c r="H20" s="35" t="s">
        <v>851</v>
      </c>
      <c r="I20" s="36" t="s">
        <v>269</v>
      </c>
    </row>
    <row r="21" spans="1:9" x14ac:dyDescent="0.25">
      <c r="A21" s="37" t="s">
        <v>826</v>
      </c>
      <c r="B21" s="38" t="s">
        <v>121</v>
      </c>
      <c r="C21" s="38">
        <v>42010</v>
      </c>
      <c r="D21" s="38" t="s">
        <v>194</v>
      </c>
      <c r="E21" s="38">
        <v>1</v>
      </c>
      <c r="F21" s="38" t="s">
        <v>855</v>
      </c>
      <c r="G21" s="38">
        <v>2</v>
      </c>
      <c r="H21" s="38" t="s">
        <v>851</v>
      </c>
      <c r="I21" s="39" t="s">
        <v>200</v>
      </c>
    </row>
    <row r="22" spans="1:9" x14ac:dyDescent="0.25">
      <c r="A22" s="34" t="s">
        <v>827</v>
      </c>
      <c r="B22" s="35" t="s">
        <v>121</v>
      </c>
      <c r="C22" s="35">
        <v>42020</v>
      </c>
      <c r="D22" s="35" t="s">
        <v>194</v>
      </c>
      <c r="E22" s="35">
        <v>2</v>
      </c>
      <c r="F22" s="35" t="s">
        <v>855</v>
      </c>
      <c r="G22" s="35">
        <v>4</v>
      </c>
      <c r="H22" s="35" t="s">
        <v>851</v>
      </c>
      <c r="I22" s="36" t="s">
        <v>788</v>
      </c>
    </row>
    <row r="23" spans="1:9" x14ac:dyDescent="0.25">
      <c r="A23" s="37" t="s">
        <v>828</v>
      </c>
      <c r="B23" s="38" t="s">
        <v>121</v>
      </c>
      <c r="C23" s="38">
        <v>43000</v>
      </c>
      <c r="D23" s="38" t="s">
        <v>194</v>
      </c>
      <c r="E23" s="38">
        <v>1</v>
      </c>
      <c r="F23" s="38" t="s">
        <v>855</v>
      </c>
      <c r="G23" s="38">
        <v>2</v>
      </c>
      <c r="H23" s="38" t="s">
        <v>851</v>
      </c>
      <c r="I23" s="39" t="s">
        <v>789</v>
      </c>
    </row>
    <row r="24" spans="1:9" x14ac:dyDescent="0.25">
      <c r="A24" s="34" t="s">
        <v>829</v>
      </c>
      <c r="B24" s="35" t="s">
        <v>121</v>
      </c>
      <c r="C24" s="35">
        <v>44000</v>
      </c>
      <c r="D24" s="35" t="s">
        <v>194</v>
      </c>
      <c r="E24" s="35">
        <v>2</v>
      </c>
      <c r="F24" s="35" t="s">
        <v>855</v>
      </c>
      <c r="G24" s="35">
        <v>4</v>
      </c>
      <c r="H24" s="35" t="s">
        <v>851</v>
      </c>
      <c r="I24" s="36"/>
    </row>
    <row r="25" spans="1:9" x14ac:dyDescent="0.25">
      <c r="A25" s="37" t="s">
        <v>830</v>
      </c>
      <c r="B25" s="38" t="s">
        <v>121</v>
      </c>
      <c r="C25" s="38">
        <v>44002</v>
      </c>
      <c r="D25" s="38" t="s">
        <v>194</v>
      </c>
      <c r="E25" s="38">
        <v>2</v>
      </c>
      <c r="F25" s="38" t="s">
        <v>855</v>
      </c>
      <c r="G25" s="38">
        <v>4</v>
      </c>
      <c r="H25" s="38" t="s">
        <v>851</v>
      </c>
      <c r="I25" s="39"/>
    </row>
    <row r="27" spans="1:9" x14ac:dyDescent="0.25">
      <c r="A27" t="s">
        <v>861</v>
      </c>
    </row>
    <row r="28" spans="1:9" x14ac:dyDescent="0.25">
      <c r="A28" s="34" t="s">
        <v>831</v>
      </c>
      <c r="B28" s="35" t="s">
        <v>121</v>
      </c>
      <c r="C28" s="35">
        <v>20</v>
      </c>
      <c r="D28" s="35" t="s">
        <v>194</v>
      </c>
      <c r="E28" s="35" t="s">
        <v>851</v>
      </c>
      <c r="F28" s="35">
        <f>C28</f>
        <v>20</v>
      </c>
      <c r="G28" s="35" t="s">
        <v>851</v>
      </c>
      <c r="H28" s="35" t="s">
        <v>276</v>
      </c>
      <c r="I28" s="36" t="s">
        <v>858</v>
      </c>
    </row>
    <row r="29" spans="1:9" x14ac:dyDescent="0.25">
      <c r="A29" s="37" t="s">
        <v>832</v>
      </c>
      <c r="B29" s="38" t="s">
        <v>121</v>
      </c>
      <c r="C29" s="38">
        <v>1</v>
      </c>
      <c r="D29" s="38" t="s">
        <v>194</v>
      </c>
      <c r="E29" s="38" t="s">
        <v>855</v>
      </c>
      <c r="F29" s="38">
        <f>C29*2</f>
        <v>2</v>
      </c>
      <c r="G29" s="38" t="s">
        <v>851</v>
      </c>
      <c r="H29" s="38" t="s">
        <v>246</v>
      </c>
      <c r="I29" s="39" t="s">
        <v>859</v>
      </c>
    </row>
    <row r="30" spans="1:9" x14ac:dyDescent="0.25">
      <c r="A30" s="34" t="s">
        <v>833</v>
      </c>
      <c r="B30" s="35" t="s">
        <v>121</v>
      </c>
      <c r="C30" s="35">
        <v>20</v>
      </c>
      <c r="D30" s="35" t="s">
        <v>194</v>
      </c>
      <c r="E30" s="35" t="s">
        <v>851</v>
      </c>
      <c r="F30" s="35">
        <f>C30</f>
        <v>20</v>
      </c>
      <c r="G30" s="35" t="s">
        <v>244</v>
      </c>
      <c r="H30" s="35" t="s">
        <v>276</v>
      </c>
      <c r="I30" s="36" t="s">
        <v>858</v>
      </c>
    </row>
    <row r="31" spans="1:9" x14ac:dyDescent="0.25">
      <c r="A31" s="37" t="s">
        <v>834</v>
      </c>
      <c r="B31" s="38" t="s">
        <v>121</v>
      </c>
      <c r="C31" s="38">
        <v>6</v>
      </c>
      <c r="D31" s="38" t="s">
        <v>194</v>
      </c>
      <c r="E31" s="38" t="s">
        <v>855</v>
      </c>
      <c r="F31" s="38">
        <f t="shared" ref="F31:F49" si="0">C31*2</f>
        <v>12</v>
      </c>
      <c r="G31" s="38" t="s">
        <v>851</v>
      </c>
      <c r="H31" s="38"/>
      <c r="I31" s="39"/>
    </row>
    <row r="32" spans="1:9" x14ac:dyDescent="0.25">
      <c r="A32" s="34" t="s">
        <v>835</v>
      </c>
      <c r="B32" s="35" t="s">
        <v>121</v>
      </c>
      <c r="C32" s="35">
        <v>5</v>
      </c>
      <c r="D32" s="35" t="s">
        <v>194</v>
      </c>
      <c r="E32" s="35" t="s">
        <v>855</v>
      </c>
      <c r="F32" s="35">
        <f t="shared" si="0"/>
        <v>10</v>
      </c>
      <c r="G32" s="35" t="s">
        <v>851</v>
      </c>
      <c r="H32" s="35"/>
      <c r="I32" s="36"/>
    </row>
    <row r="33" spans="1:9" x14ac:dyDescent="0.25">
      <c r="A33" s="37" t="s">
        <v>836</v>
      </c>
      <c r="B33" s="38" t="s">
        <v>121</v>
      </c>
      <c r="C33" s="38">
        <v>4</v>
      </c>
      <c r="D33" s="38" t="s">
        <v>194</v>
      </c>
      <c r="E33" s="38" t="s">
        <v>855</v>
      </c>
      <c r="F33" s="38">
        <f t="shared" si="0"/>
        <v>8</v>
      </c>
      <c r="G33" s="38" t="s">
        <v>851</v>
      </c>
      <c r="H33" s="38"/>
      <c r="I33" s="39"/>
    </row>
    <row r="34" spans="1:9" x14ac:dyDescent="0.25">
      <c r="A34" s="34" t="s">
        <v>852</v>
      </c>
      <c r="B34" s="35" t="s">
        <v>121</v>
      </c>
      <c r="C34" s="35">
        <v>12</v>
      </c>
      <c r="D34" s="35" t="s">
        <v>194</v>
      </c>
      <c r="E34" s="35" t="s">
        <v>855</v>
      </c>
      <c r="F34" s="35">
        <f t="shared" si="0"/>
        <v>24</v>
      </c>
      <c r="G34" s="35" t="s">
        <v>851</v>
      </c>
      <c r="H34" s="35"/>
      <c r="I34" s="36"/>
    </row>
    <row r="35" spans="1:9" x14ac:dyDescent="0.25">
      <c r="A35" s="37" t="s">
        <v>837</v>
      </c>
      <c r="B35" s="38" t="s">
        <v>121</v>
      </c>
      <c r="C35" s="38">
        <v>3</v>
      </c>
      <c r="D35" s="38" t="s">
        <v>194</v>
      </c>
      <c r="E35" s="38" t="s">
        <v>855</v>
      </c>
      <c r="F35" s="38">
        <f t="shared" si="0"/>
        <v>6</v>
      </c>
      <c r="G35" s="38" t="s">
        <v>851</v>
      </c>
      <c r="H35" s="38"/>
      <c r="I35" s="39"/>
    </row>
    <row r="36" spans="1:9" x14ac:dyDescent="0.25">
      <c r="A36" s="34" t="s">
        <v>838</v>
      </c>
      <c r="B36" s="35" t="s">
        <v>121</v>
      </c>
      <c r="C36" s="35">
        <v>2</v>
      </c>
      <c r="D36" s="35" t="s">
        <v>194</v>
      </c>
      <c r="E36" s="35" t="s">
        <v>855</v>
      </c>
      <c r="F36" s="35">
        <f t="shared" si="0"/>
        <v>4</v>
      </c>
      <c r="G36" s="35" t="s">
        <v>851</v>
      </c>
      <c r="H36" s="35"/>
      <c r="I36" s="36"/>
    </row>
    <row r="37" spans="1:9" x14ac:dyDescent="0.25">
      <c r="A37" s="37" t="s">
        <v>839</v>
      </c>
      <c r="B37" s="38" t="s">
        <v>121</v>
      </c>
      <c r="C37" s="38">
        <v>1</v>
      </c>
      <c r="D37" s="38" t="s">
        <v>194</v>
      </c>
      <c r="E37" s="38" t="s">
        <v>855</v>
      </c>
      <c r="F37" s="38">
        <f t="shared" si="0"/>
        <v>2</v>
      </c>
      <c r="G37" s="38" t="s">
        <v>851</v>
      </c>
      <c r="H37" s="38"/>
      <c r="I37" s="39" t="s">
        <v>240</v>
      </c>
    </row>
    <row r="38" spans="1:9" x14ac:dyDescent="0.25">
      <c r="A38" s="34" t="s">
        <v>840</v>
      </c>
      <c r="B38" s="35" t="s">
        <v>121</v>
      </c>
      <c r="C38" s="35">
        <v>3</v>
      </c>
      <c r="D38" s="35" t="s">
        <v>194</v>
      </c>
      <c r="E38" s="35" t="s">
        <v>855</v>
      </c>
      <c r="F38" s="35">
        <f t="shared" si="0"/>
        <v>6</v>
      </c>
      <c r="G38" s="35" t="s">
        <v>851</v>
      </c>
      <c r="H38" s="35"/>
      <c r="I38" s="36"/>
    </row>
    <row r="39" spans="1:9" x14ac:dyDescent="0.25">
      <c r="A39" s="37" t="s">
        <v>841</v>
      </c>
      <c r="B39" s="38" t="s">
        <v>121</v>
      </c>
      <c r="C39" s="38">
        <v>1</v>
      </c>
      <c r="D39" s="38" t="s">
        <v>194</v>
      </c>
      <c r="E39" s="38" t="s">
        <v>855</v>
      </c>
      <c r="F39" s="38">
        <f t="shared" si="0"/>
        <v>2</v>
      </c>
      <c r="G39" s="38" t="s">
        <v>851</v>
      </c>
      <c r="H39" s="38"/>
      <c r="I39" s="39"/>
    </row>
    <row r="40" spans="1:9" x14ac:dyDescent="0.25">
      <c r="A40" s="34" t="s">
        <v>842</v>
      </c>
      <c r="B40" s="35" t="s">
        <v>121</v>
      </c>
      <c r="C40" s="35">
        <v>2</v>
      </c>
      <c r="D40" s="35" t="s">
        <v>194</v>
      </c>
      <c r="E40" s="35" t="s">
        <v>855</v>
      </c>
      <c r="F40" s="35">
        <f t="shared" si="0"/>
        <v>4</v>
      </c>
      <c r="G40" s="35" t="s">
        <v>851</v>
      </c>
      <c r="H40" s="35"/>
      <c r="I40" s="36"/>
    </row>
    <row r="41" spans="1:9" x14ac:dyDescent="0.25">
      <c r="A41" s="37" t="s">
        <v>843</v>
      </c>
      <c r="B41" s="38" t="s">
        <v>121</v>
      </c>
      <c r="C41" s="38">
        <v>1</v>
      </c>
      <c r="D41" s="38" t="s">
        <v>194</v>
      </c>
      <c r="E41" s="38" t="s">
        <v>855</v>
      </c>
      <c r="F41" s="38">
        <f t="shared" si="0"/>
        <v>2</v>
      </c>
      <c r="G41" s="38" t="s">
        <v>851</v>
      </c>
      <c r="H41" s="38"/>
      <c r="I41" s="39" t="s">
        <v>268</v>
      </c>
    </row>
    <row r="42" spans="1:9" x14ac:dyDescent="0.25">
      <c r="A42" s="34" t="s">
        <v>844</v>
      </c>
      <c r="B42" s="35" t="s">
        <v>121</v>
      </c>
      <c r="C42" s="35">
        <v>1</v>
      </c>
      <c r="D42" s="35" t="s">
        <v>194</v>
      </c>
      <c r="E42" s="35" t="s">
        <v>855</v>
      </c>
      <c r="F42" s="35">
        <f t="shared" si="0"/>
        <v>2</v>
      </c>
      <c r="G42" s="35" t="s">
        <v>851</v>
      </c>
      <c r="H42" s="35"/>
      <c r="I42" s="36" t="s">
        <v>856</v>
      </c>
    </row>
    <row r="43" spans="1:9" x14ac:dyDescent="0.25">
      <c r="A43" s="37" t="s">
        <v>836</v>
      </c>
      <c r="B43" s="38" t="s">
        <v>121</v>
      </c>
      <c r="C43" s="38">
        <v>1</v>
      </c>
      <c r="D43" s="38" t="s">
        <v>194</v>
      </c>
      <c r="E43" s="38" t="s">
        <v>855</v>
      </c>
      <c r="F43" s="38">
        <f t="shared" si="0"/>
        <v>2</v>
      </c>
      <c r="G43" s="38" t="s">
        <v>851</v>
      </c>
      <c r="H43" s="38"/>
      <c r="I43" s="39" t="s">
        <v>267</v>
      </c>
    </row>
    <row r="44" spans="1:9" x14ac:dyDescent="0.25">
      <c r="A44" s="34" t="s">
        <v>845</v>
      </c>
      <c r="B44" s="35" t="s">
        <v>121</v>
      </c>
      <c r="C44" s="35">
        <v>1</v>
      </c>
      <c r="D44" s="35" t="s">
        <v>194</v>
      </c>
      <c r="E44" s="35" t="s">
        <v>855</v>
      </c>
      <c r="F44" s="35">
        <f t="shared" si="0"/>
        <v>2</v>
      </c>
      <c r="G44" s="35" t="s">
        <v>851</v>
      </c>
      <c r="H44" s="35"/>
      <c r="I44" s="36" t="s">
        <v>269</v>
      </c>
    </row>
    <row r="45" spans="1:9" x14ac:dyDescent="0.25">
      <c r="A45" s="37" t="s">
        <v>846</v>
      </c>
      <c r="B45" s="38" t="s">
        <v>121</v>
      </c>
      <c r="C45" s="38">
        <v>1</v>
      </c>
      <c r="D45" s="38" t="s">
        <v>194</v>
      </c>
      <c r="E45" s="38" t="s">
        <v>855</v>
      </c>
      <c r="F45" s="38">
        <f t="shared" si="0"/>
        <v>2</v>
      </c>
      <c r="G45" s="38" t="s">
        <v>851</v>
      </c>
      <c r="H45" s="38"/>
      <c r="I45" s="39" t="s">
        <v>200</v>
      </c>
    </row>
    <row r="46" spans="1:9" x14ac:dyDescent="0.25">
      <c r="A46" s="34" t="s">
        <v>847</v>
      </c>
      <c r="B46" s="35" t="s">
        <v>121</v>
      </c>
      <c r="C46" s="35">
        <v>2</v>
      </c>
      <c r="D46" s="35" t="s">
        <v>194</v>
      </c>
      <c r="E46" s="35" t="s">
        <v>855</v>
      </c>
      <c r="F46" s="35">
        <f t="shared" si="0"/>
        <v>4</v>
      </c>
      <c r="G46" s="35" t="s">
        <v>851</v>
      </c>
      <c r="H46" s="35"/>
      <c r="I46" s="36" t="s">
        <v>857</v>
      </c>
    </row>
    <row r="47" spans="1:9" x14ac:dyDescent="0.25">
      <c r="A47" s="37" t="s">
        <v>848</v>
      </c>
      <c r="B47" s="38" t="s">
        <v>121</v>
      </c>
      <c r="C47" s="38">
        <v>1</v>
      </c>
      <c r="D47" s="38" t="s">
        <v>194</v>
      </c>
      <c r="E47" s="38" t="s">
        <v>855</v>
      </c>
      <c r="F47" s="38">
        <f t="shared" si="0"/>
        <v>2</v>
      </c>
      <c r="G47" s="38" t="s">
        <v>851</v>
      </c>
      <c r="H47" s="38"/>
      <c r="I47" s="39" t="s">
        <v>789</v>
      </c>
    </row>
    <row r="48" spans="1:9" x14ac:dyDescent="0.25">
      <c r="A48" s="34" t="s">
        <v>849</v>
      </c>
      <c r="B48" s="35" t="s">
        <v>121</v>
      </c>
      <c r="C48" s="35">
        <v>2</v>
      </c>
      <c r="D48" s="35" t="s">
        <v>194</v>
      </c>
      <c r="E48" s="35" t="s">
        <v>855</v>
      </c>
      <c r="F48" s="35">
        <f t="shared" si="0"/>
        <v>4</v>
      </c>
      <c r="G48" s="35" t="s">
        <v>851</v>
      </c>
      <c r="H48" s="35"/>
      <c r="I48" s="36"/>
    </row>
    <row r="49" spans="1:9" x14ac:dyDescent="0.25">
      <c r="A49" s="37" t="s">
        <v>850</v>
      </c>
      <c r="B49" s="38" t="s">
        <v>121</v>
      </c>
      <c r="C49" s="38">
        <v>2</v>
      </c>
      <c r="D49" s="38" t="s">
        <v>194</v>
      </c>
      <c r="E49" s="38" t="s">
        <v>855</v>
      </c>
      <c r="F49" s="38">
        <f t="shared" si="0"/>
        <v>4</v>
      </c>
      <c r="G49" s="38" t="s">
        <v>851</v>
      </c>
      <c r="H49" s="38"/>
      <c r="I49" s="39"/>
    </row>
    <row r="52" spans="1:9" x14ac:dyDescent="0.25">
      <c r="A52" s="33" t="s">
        <v>808</v>
      </c>
      <c r="B52" s="6" t="s">
        <v>121</v>
      </c>
      <c r="C52" s="6">
        <v>0</v>
      </c>
      <c r="D52" s="6" t="s">
        <v>194</v>
      </c>
      <c r="E52" s="6">
        <v>31000</v>
      </c>
      <c r="F52" s="6">
        <v>20</v>
      </c>
      <c r="G52" s="6" t="s">
        <v>244</v>
      </c>
      <c r="H52" s="6" t="s">
        <v>247</v>
      </c>
      <c r="I52" s="10"/>
    </row>
    <row r="53" spans="1:9" x14ac:dyDescent="0.25">
      <c r="A53" s="33" t="s">
        <v>809</v>
      </c>
      <c r="B53" s="6" t="s">
        <v>121</v>
      </c>
      <c r="C53" s="6">
        <v>1</v>
      </c>
      <c r="D53" s="6" t="s">
        <v>194</v>
      </c>
      <c r="E53" s="6">
        <v>31100</v>
      </c>
      <c r="F53" s="6">
        <v>2</v>
      </c>
      <c r="G53" s="6" t="s">
        <v>245</v>
      </c>
      <c r="H53" s="6" t="s">
        <v>246</v>
      </c>
      <c r="I53" s="10"/>
    </row>
    <row r="54" spans="1:9" x14ac:dyDescent="0.25">
      <c r="A54" s="33" t="s">
        <v>810</v>
      </c>
      <c r="B54" s="6" t="s">
        <v>121</v>
      </c>
      <c r="C54" s="6">
        <v>2</v>
      </c>
      <c r="D54" s="6" t="s">
        <v>194</v>
      </c>
      <c r="E54" s="6">
        <v>31200</v>
      </c>
      <c r="F54" s="6">
        <v>20</v>
      </c>
      <c r="G54" s="6" t="s">
        <v>244</v>
      </c>
      <c r="H54" s="6" t="s">
        <v>247</v>
      </c>
      <c r="I54" s="10"/>
    </row>
    <row r="55" spans="1:9" x14ac:dyDescent="0.25">
      <c r="A55" s="33" t="s">
        <v>790</v>
      </c>
      <c r="B55" s="6" t="s">
        <v>121</v>
      </c>
      <c r="C55" s="6">
        <v>3</v>
      </c>
      <c r="D55" s="6" t="s">
        <v>194</v>
      </c>
      <c r="E55" s="6">
        <v>32100</v>
      </c>
      <c r="F55" s="6">
        <v>2</v>
      </c>
      <c r="G55" s="6" t="s">
        <v>245</v>
      </c>
      <c r="H55" s="6" t="s">
        <v>250</v>
      </c>
      <c r="I55" s="10"/>
    </row>
    <row r="56" spans="1:9" x14ac:dyDescent="0.25">
      <c r="A56" s="33" t="s">
        <v>791</v>
      </c>
      <c r="B56" s="6" t="s">
        <v>121</v>
      </c>
      <c r="C56" s="6">
        <v>8</v>
      </c>
      <c r="D56" s="6" t="s">
        <v>194</v>
      </c>
      <c r="E56" s="6">
        <v>32200</v>
      </c>
      <c r="F56" s="6">
        <v>2</v>
      </c>
      <c r="G56" s="6" t="s">
        <v>245</v>
      </c>
      <c r="H56" s="6" t="s">
        <v>258</v>
      </c>
      <c r="I56" s="10"/>
    </row>
    <row r="57" spans="1:9" x14ac:dyDescent="0.25">
      <c r="A57" s="33" t="s">
        <v>792</v>
      </c>
      <c r="B57" s="6" t="s">
        <v>121</v>
      </c>
      <c r="C57" s="6">
        <v>12</v>
      </c>
      <c r="D57" s="6" t="s">
        <v>194</v>
      </c>
      <c r="E57" s="6">
        <v>32300</v>
      </c>
      <c r="F57" s="6">
        <v>2</v>
      </c>
      <c r="G57" s="6" t="s">
        <v>245</v>
      </c>
      <c r="H57" s="6" t="s">
        <v>258</v>
      </c>
      <c r="I57" s="10"/>
    </row>
    <row r="58" spans="1:9" x14ac:dyDescent="0.25">
      <c r="A58" s="33" t="s">
        <v>854</v>
      </c>
      <c r="B58" s="6" t="s">
        <v>121</v>
      </c>
      <c r="C58" s="6">
        <v>15</v>
      </c>
      <c r="D58" s="6" t="s">
        <v>194</v>
      </c>
      <c r="E58" s="6">
        <v>33000</v>
      </c>
      <c r="F58" s="6">
        <v>4</v>
      </c>
      <c r="G58" s="6" t="s">
        <v>260</v>
      </c>
      <c r="H58" s="6" t="s">
        <v>261</v>
      </c>
      <c r="I58" s="10"/>
    </row>
    <row r="59" spans="1:9" x14ac:dyDescent="0.25">
      <c r="A59" s="33" t="s">
        <v>793</v>
      </c>
      <c r="B59" s="6" t="s">
        <v>121</v>
      </c>
      <c r="C59" s="6">
        <v>21</v>
      </c>
      <c r="D59" s="6" t="s">
        <v>194</v>
      </c>
      <c r="E59" s="6">
        <v>35000</v>
      </c>
      <c r="F59" s="6">
        <v>2</v>
      </c>
      <c r="G59" s="6" t="s">
        <v>245</v>
      </c>
      <c r="H59" s="6" t="s">
        <v>262</v>
      </c>
      <c r="I59" s="10"/>
    </row>
    <row r="60" spans="1:9" x14ac:dyDescent="0.25">
      <c r="A60" s="33" t="s">
        <v>794</v>
      </c>
      <c r="B60" s="6" t="s">
        <v>121</v>
      </c>
      <c r="C60" s="6">
        <v>24</v>
      </c>
      <c r="D60" s="6" t="s">
        <v>194</v>
      </c>
      <c r="E60" s="6">
        <v>35010</v>
      </c>
      <c r="F60" s="6">
        <v>2</v>
      </c>
      <c r="G60" s="6" t="s">
        <v>245</v>
      </c>
      <c r="H60" s="6" t="s">
        <v>262</v>
      </c>
      <c r="I60" s="10"/>
    </row>
    <row r="61" spans="1:9" x14ac:dyDescent="0.25">
      <c r="A61" s="33" t="s">
        <v>795</v>
      </c>
      <c r="B61" s="6" t="s">
        <v>121</v>
      </c>
      <c r="C61" s="6">
        <v>26</v>
      </c>
      <c r="D61" s="6" t="s">
        <v>194</v>
      </c>
      <c r="E61" s="6">
        <v>35100</v>
      </c>
      <c r="F61" s="6">
        <v>2</v>
      </c>
      <c r="G61" s="6" t="s">
        <v>245</v>
      </c>
      <c r="H61" s="6" t="s">
        <v>247</v>
      </c>
      <c r="I61" s="10" t="s">
        <v>240</v>
      </c>
    </row>
    <row r="62" spans="1:9" x14ac:dyDescent="0.25">
      <c r="A62" s="33" t="s">
        <v>796</v>
      </c>
      <c r="B62" s="6" t="s">
        <v>121</v>
      </c>
      <c r="C62" s="6">
        <v>27</v>
      </c>
      <c r="D62" s="6" t="s">
        <v>194</v>
      </c>
      <c r="E62" s="6">
        <v>35110</v>
      </c>
      <c r="F62" s="6">
        <v>2</v>
      </c>
      <c r="G62" s="6" t="s">
        <v>245</v>
      </c>
      <c r="H62" s="6" t="s">
        <v>263</v>
      </c>
      <c r="I62" s="10"/>
    </row>
    <row r="63" spans="1:9" x14ac:dyDescent="0.25">
      <c r="A63" s="33" t="s">
        <v>797</v>
      </c>
      <c r="B63" s="6" t="s">
        <v>121</v>
      </c>
      <c r="C63" s="6">
        <v>30</v>
      </c>
      <c r="D63" s="6" t="s">
        <v>194</v>
      </c>
      <c r="E63" s="6">
        <v>36000</v>
      </c>
      <c r="F63" s="6">
        <v>2</v>
      </c>
      <c r="G63" s="6" t="s">
        <v>266</v>
      </c>
      <c r="H63" s="6" t="s">
        <v>247</v>
      </c>
      <c r="I63" s="10"/>
    </row>
    <row r="64" spans="1:9" x14ac:dyDescent="0.25">
      <c r="A64" s="33" t="s">
        <v>798</v>
      </c>
      <c r="B64" s="6" t="s">
        <v>121</v>
      </c>
      <c r="C64" s="6">
        <v>31</v>
      </c>
      <c r="D64" s="6" t="s">
        <v>194</v>
      </c>
      <c r="E64" s="6">
        <v>36100</v>
      </c>
      <c r="F64" s="6">
        <v>4</v>
      </c>
      <c r="G64" s="6" t="s">
        <v>266</v>
      </c>
      <c r="H64" s="6" t="s">
        <v>247</v>
      </c>
      <c r="I64" s="10"/>
    </row>
    <row r="65" spans="1:9" x14ac:dyDescent="0.25">
      <c r="A65" s="33" t="s">
        <v>799</v>
      </c>
      <c r="B65" s="6" t="s">
        <v>121</v>
      </c>
      <c r="C65" s="6">
        <v>32</v>
      </c>
      <c r="D65" s="6" t="s">
        <v>194</v>
      </c>
      <c r="E65" s="6">
        <v>41000</v>
      </c>
      <c r="F65" s="6">
        <v>2</v>
      </c>
      <c r="G65" s="6" t="s">
        <v>245</v>
      </c>
      <c r="H65" s="6" t="s">
        <v>247</v>
      </c>
      <c r="I65" s="10" t="s">
        <v>268</v>
      </c>
    </row>
    <row r="66" spans="1:9" x14ac:dyDescent="0.25">
      <c r="A66" s="33" t="s">
        <v>800</v>
      </c>
      <c r="B66" s="6" t="s">
        <v>121</v>
      </c>
      <c r="C66" s="6">
        <v>33</v>
      </c>
      <c r="D66" s="6" t="s">
        <v>194</v>
      </c>
      <c r="E66" s="6">
        <v>41100</v>
      </c>
      <c r="F66" s="6">
        <v>2</v>
      </c>
      <c r="G66" s="6" t="s">
        <v>245</v>
      </c>
      <c r="H66" s="6" t="s">
        <v>247</v>
      </c>
      <c r="I66" s="10" t="s">
        <v>787</v>
      </c>
    </row>
    <row r="67" spans="1:9" x14ac:dyDescent="0.25">
      <c r="A67" s="33" t="s">
        <v>792</v>
      </c>
      <c r="B67" s="6" t="s">
        <v>121</v>
      </c>
      <c r="C67" s="6">
        <v>34</v>
      </c>
      <c r="D67" s="6" t="s">
        <v>194</v>
      </c>
      <c r="E67" s="6">
        <v>41200</v>
      </c>
      <c r="F67" s="6">
        <v>2</v>
      </c>
      <c r="G67" s="6" t="s">
        <v>245</v>
      </c>
      <c r="H67" s="6" t="s">
        <v>247</v>
      </c>
      <c r="I67" s="10" t="s">
        <v>267</v>
      </c>
    </row>
    <row r="68" spans="1:9" x14ac:dyDescent="0.25">
      <c r="A68" s="33" t="s">
        <v>801</v>
      </c>
      <c r="B68" s="6" t="s">
        <v>121</v>
      </c>
      <c r="C68" s="6">
        <v>35</v>
      </c>
      <c r="D68" s="6" t="s">
        <v>194</v>
      </c>
      <c r="E68" s="6">
        <v>42000</v>
      </c>
      <c r="F68" s="6">
        <v>2</v>
      </c>
      <c r="G68" s="6" t="s">
        <v>245</v>
      </c>
      <c r="H68" s="6" t="s">
        <v>247</v>
      </c>
      <c r="I68" s="10" t="s">
        <v>269</v>
      </c>
    </row>
    <row r="69" spans="1:9" x14ac:dyDescent="0.25">
      <c r="A69" s="33" t="s">
        <v>802</v>
      </c>
      <c r="B69" s="6" t="s">
        <v>121</v>
      </c>
      <c r="C69" s="6">
        <v>36</v>
      </c>
      <c r="D69" s="6" t="s">
        <v>194</v>
      </c>
      <c r="E69" s="6">
        <v>42010</v>
      </c>
      <c r="F69" s="6">
        <v>2</v>
      </c>
      <c r="G69" s="6" t="s">
        <v>245</v>
      </c>
      <c r="H69" s="6" t="s">
        <v>247</v>
      </c>
      <c r="I69" s="10" t="s">
        <v>200</v>
      </c>
    </row>
    <row r="70" spans="1:9" x14ac:dyDescent="0.25">
      <c r="A70" s="33" t="s">
        <v>803</v>
      </c>
      <c r="B70" s="6" t="s">
        <v>121</v>
      </c>
      <c r="C70" s="6">
        <v>38</v>
      </c>
      <c r="D70" s="6" t="s">
        <v>194</v>
      </c>
      <c r="E70" s="6">
        <v>42020</v>
      </c>
      <c r="F70" s="6">
        <v>2</v>
      </c>
      <c r="G70" s="6" t="s">
        <v>245</v>
      </c>
      <c r="H70" s="6" t="s">
        <v>251</v>
      </c>
      <c r="I70" s="10" t="s">
        <v>788</v>
      </c>
    </row>
    <row r="71" spans="1:9" x14ac:dyDescent="0.25">
      <c r="A71" s="33" t="s">
        <v>804</v>
      </c>
      <c r="B71" s="6" t="s">
        <v>121</v>
      </c>
      <c r="C71" s="6">
        <v>40</v>
      </c>
      <c r="D71" s="6" t="s">
        <v>194</v>
      </c>
      <c r="E71" s="6">
        <v>43000</v>
      </c>
      <c r="F71" s="6">
        <v>2</v>
      </c>
      <c r="G71" s="6" t="s">
        <v>245</v>
      </c>
      <c r="H71" s="6" t="s">
        <v>247</v>
      </c>
      <c r="I71" s="10" t="s">
        <v>789</v>
      </c>
    </row>
    <row r="72" spans="1:9" x14ac:dyDescent="0.25">
      <c r="A72" s="33" t="s">
        <v>805</v>
      </c>
      <c r="B72" s="6" t="s">
        <v>121</v>
      </c>
      <c r="C72" s="6">
        <v>41</v>
      </c>
      <c r="D72" s="6" t="s">
        <v>194</v>
      </c>
      <c r="E72" s="6">
        <v>44000</v>
      </c>
      <c r="F72" s="6">
        <v>2</v>
      </c>
      <c r="G72" s="6" t="s">
        <v>245</v>
      </c>
      <c r="H72" s="6" t="s">
        <v>255</v>
      </c>
      <c r="I72" s="10"/>
    </row>
    <row r="73" spans="1:9" x14ac:dyDescent="0.25">
      <c r="A73" s="33" t="s">
        <v>806</v>
      </c>
      <c r="B73" s="6" t="s">
        <v>121</v>
      </c>
      <c r="C73" s="6">
        <v>43</v>
      </c>
      <c r="D73" s="6" t="s">
        <v>194</v>
      </c>
      <c r="E73" s="6">
        <v>44002</v>
      </c>
      <c r="F73" s="6">
        <v>2</v>
      </c>
      <c r="G73" s="6" t="s">
        <v>245</v>
      </c>
      <c r="H73" s="6" t="s">
        <v>251</v>
      </c>
      <c r="I73" s="1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d279179-731f-4062-b3d2-50a617067919}" enabled="1" method="Standard" siteId="{54d36b47-3315-494b-b7f3-91a49dfa9d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BATT_REGISTER_LIST</vt:lpstr>
      <vt:lpstr>BATT_INDEX_LIST</vt:lpstr>
      <vt:lpstr>MARSTEK_MODBUS_INDEX_LIST</vt:lpstr>
      <vt:lpstr>MARSTEK_MODBUS</vt:lpstr>
      <vt:lpstr>FIELD_INDEX</vt:lpstr>
      <vt:lpstr>MARSTEK_CONVERTED</vt:lpstr>
      <vt:lpstr>MARSTEK_MODBUS (OLD)</vt:lpstr>
      <vt:lpstr>MODBUS_BLOCK_INDEX_OLD</vt:lpstr>
      <vt:lpstr>MARSTEK_CONVERTED_OLD</vt:lpstr>
      <vt:lpstr>MARSTEK_MODBUS_REGISTERS_OLD</vt:lpstr>
      <vt:lpstr>MARSTEK_SET</vt:lpstr>
      <vt:lpstr>DSMR_LIST_CONSTRUCTOR</vt:lpstr>
      <vt:lpstr>DSMR_OBIS_DICT</vt:lpstr>
      <vt:lpstr>DSMR_OBIS_CONST</vt:lpstr>
      <vt:lpstr>DSMR_CONST</vt:lpstr>
      <vt:lpstr>AUXM_CONST</vt:lpstr>
      <vt:lpstr>COST_CONST</vt:lpstr>
      <vt:lpstr>EMS_CONST</vt:lpstr>
      <vt:lpstr>CSV_CONST</vt:lpstr>
      <vt:lpstr>ALL_CONST</vt:lpstr>
      <vt:lpstr>CSV_HEADER</vt:lpstr>
      <vt:lpstr>P1 calculations</vt:lpstr>
      <vt:lpstr>OLD CSV logging fields</vt:lpstr>
      <vt:lpstr>MARSTEK_MODBUS_BLCKS_OLD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Hendriks</dc:creator>
  <cp:lastModifiedBy>Erwin Hendriks</cp:lastModifiedBy>
  <dcterms:created xsi:type="dcterms:W3CDTF">2025-10-22T12:42:30Z</dcterms:created>
  <dcterms:modified xsi:type="dcterms:W3CDTF">2025-11-24T21:17:20Z</dcterms:modified>
</cp:coreProperties>
</file>